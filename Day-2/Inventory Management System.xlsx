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wjanya\Downloads\"/>
    </mc:Choice>
  </mc:AlternateContent>
  <xr:revisionPtr revIDLastSave="0" documentId="8_{4CCC9F2C-C5B5-4030-8EAE-81265017844C}" xr6:coauthVersionLast="47" xr6:coauthVersionMax="47" xr10:uidLastSave="{00000000-0000-0000-0000-000000000000}"/>
  <bookViews>
    <workbookView xWindow="-108" yWindow="-108" windowWidth="23256" windowHeight="12456" activeTab="1" xr2:uid="{0F728AF7-BD08-4C7A-8C32-FB29645E1F75}"/>
  </bookViews>
  <sheets>
    <sheet name="Day2" sheetId="1" r:id="rId1"/>
    <sheet name="Bar chart" sheetId="2" r:id="rId2"/>
    <sheet name="pivot-T10" sheetId="5" r:id="rId3"/>
    <sheet name="pivot--t10" sheetId="6" r:id="rId4"/>
  </sheets>
  <definedNames>
    <definedName name="_xlnm._FilterDatabase" localSheetId="0" hidden="1">'Day2'!$B$1:$B$26</definedName>
  </definedNames>
  <calcPr calcId="191029"/>
  <pivotCaches>
    <pivotCache cacheId="0" r:id="rId5"/>
    <pivotCache cacheId="1" r:id="rId6"/>
    <pivotCache cacheId="2" r:id="rId7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6" i="1" l="1"/>
  <c r="J26" i="1"/>
  <c r="I26" i="1"/>
  <c r="H26" i="1"/>
  <c r="P25" i="1"/>
  <c r="J25" i="1"/>
  <c r="I25" i="1"/>
  <c r="H25" i="1"/>
  <c r="P24" i="1"/>
  <c r="J24" i="1"/>
  <c r="I24" i="1"/>
  <c r="H24" i="1"/>
  <c r="P23" i="1"/>
  <c r="J23" i="1"/>
  <c r="I23" i="1"/>
  <c r="H23" i="1"/>
  <c r="P22" i="1"/>
  <c r="J22" i="1"/>
  <c r="I22" i="1"/>
  <c r="H22" i="1"/>
  <c r="P21" i="1"/>
  <c r="J21" i="1"/>
  <c r="I21" i="1"/>
  <c r="H21" i="1"/>
  <c r="P20" i="1"/>
  <c r="J20" i="1"/>
  <c r="I20" i="1"/>
  <c r="H20" i="1"/>
  <c r="P19" i="1"/>
  <c r="J19" i="1"/>
  <c r="I19" i="1"/>
  <c r="H19" i="1"/>
  <c r="P18" i="1"/>
  <c r="J18" i="1"/>
  <c r="I18" i="1"/>
  <c r="H18" i="1"/>
  <c r="P17" i="1"/>
  <c r="J17" i="1"/>
  <c r="I17" i="1"/>
  <c r="H17" i="1"/>
  <c r="P16" i="1"/>
  <c r="J16" i="1"/>
  <c r="I16" i="1"/>
  <c r="H16" i="1"/>
  <c r="P15" i="1"/>
  <c r="J15" i="1"/>
  <c r="I15" i="1"/>
  <c r="H15" i="1"/>
  <c r="P14" i="1"/>
  <c r="J14" i="1"/>
  <c r="I14" i="1"/>
  <c r="H14" i="1"/>
  <c r="P13" i="1"/>
  <c r="J13" i="1"/>
  <c r="I13" i="1"/>
  <c r="H13" i="1"/>
  <c r="P12" i="1"/>
  <c r="J12" i="1"/>
  <c r="I12" i="1"/>
  <c r="H12" i="1"/>
  <c r="P11" i="1"/>
  <c r="J11" i="1"/>
  <c r="I11" i="1"/>
  <c r="H11" i="1"/>
  <c r="P10" i="1"/>
  <c r="J10" i="1"/>
  <c r="I10" i="1"/>
  <c r="H10" i="1"/>
  <c r="P9" i="1"/>
  <c r="J9" i="1"/>
  <c r="I9" i="1"/>
  <c r="H9" i="1"/>
  <c r="P8" i="1"/>
  <c r="J8" i="1"/>
  <c r="I8" i="1"/>
  <c r="H8" i="1"/>
  <c r="P7" i="1"/>
  <c r="J7" i="1"/>
  <c r="I7" i="1"/>
  <c r="H7" i="1"/>
  <c r="P6" i="1"/>
  <c r="J6" i="1"/>
  <c r="I6" i="1"/>
  <c r="H6" i="1"/>
  <c r="P5" i="1"/>
  <c r="J5" i="1"/>
  <c r="I5" i="1"/>
  <c r="H5" i="1"/>
  <c r="AJ4" i="1"/>
  <c r="AG4" i="1"/>
  <c r="AE4" i="1"/>
  <c r="P4" i="1"/>
  <c r="J4" i="1"/>
  <c r="I4" i="1"/>
  <c r="H4" i="1"/>
  <c r="P3" i="1"/>
  <c r="J3" i="1"/>
  <c r="I3" i="1"/>
  <c r="H3" i="1"/>
  <c r="P2" i="1"/>
  <c r="J2" i="1"/>
  <c r="I2" i="1"/>
  <c r="H2" i="1"/>
</calcChain>
</file>

<file path=xl/sharedStrings.xml><?xml version="1.0" encoding="utf-8"?>
<sst xmlns="http://schemas.openxmlformats.org/spreadsheetml/2006/main" count="243" uniqueCount="101">
  <si>
    <t>Product ID</t>
  </si>
  <si>
    <t>Product Name</t>
  </si>
  <si>
    <t>Category</t>
  </si>
  <si>
    <t>Supplier</t>
  </si>
  <si>
    <t>Unit Price</t>
  </si>
  <si>
    <t>Quantity</t>
  </si>
  <si>
    <t>Reorder Level</t>
  </si>
  <si>
    <t>P001</t>
  </si>
  <si>
    <t>Laptop</t>
  </si>
  <si>
    <t>Electronics</t>
  </si>
  <si>
    <t>Dell</t>
  </si>
  <si>
    <t>P002</t>
  </si>
  <si>
    <t>Mouse</t>
  </si>
  <si>
    <t>Logitech</t>
  </si>
  <si>
    <t>P003</t>
  </si>
  <si>
    <t>Keyboard</t>
  </si>
  <si>
    <t>HP</t>
  </si>
  <si>
    <t>P004</t>
  </si>
  <si>
    <t>Monitor</t>
  </si>
  <si>
    <t>Samsung</t>
  </si>
  <si>
    <t>P005</t>
  </si>
  <si>
    <t>Printer</t>
  </si>
  <si>
    <t>Canon</t>
  </si>
  <si>
    <t>P006</t>
  </si>
  <si>
    <t>Router</t>
  </si>
  <si>
    <t>Networking</t>
  </si>
  <si>
    <t>TP-Link</t>
  </si>
  <si>
    <t>P007</t>
  </si>
  <si>
    <t>Switch</t>
  </si>
  <si>
    <t>Cisco</t>
  </si>
  <si>
    <t>P008</t>
  </si>
  <si>
    <t>External HDD</t>
  </si>
  <si>
    <t>Storage</t>
  </si>
  <si>
    <t>Seagate</t>
  </si>
  <si>
    <t>P009</t>
  </si>
  <si>
    <t>SSD 1TB</t>
  </si>
  <si>
    <t>P010</t>
  </si>
  <si>
    <t>Pendrive 64GB</t>
  </si>
  <si>
    <t>SanDisk</t>
  </si>
  <si>
    <t>P011</t>
  </si>
  <si>
    <t>Webcam</t>
  </si>
  <si>
    <t>Accessories</t>
  </si>
  <si>
    <t>P012</t>
  </si>
  <si>
    <t>Headset</t>
  </si>
  <si>
    <t>JBL</t>
  </si>
  <si>
    <t>P013</t>
  </si>
  <si>
    <t>Projector</t>
  </si>
  <si>
    <t>Office</t>
  </si>
  <si>
    <t>Epson</t>
  </si>
  <si>
    <t>P014</t>
  </si>
  <si>
    <t>Scanner</t>
  </si>
  <si>
    <t>P015</t>
  </si>
  <si>
    <t>UPS</t>
  </si>
  <si>
    <t>Power</t>
  </si>
  <si>
    <t>APC</t>
  </si>
  <si>
    <t>P016</t>
  </si>
  <si>
    <t>Power Bank</t>
  </si>
  <si>
    <t>Mi</t>
  </si>
  <si>
    <t>P017</t>
  </si>
  <si>
    <t>HDMI Cable</t>
  </si>
  <si>
    <t>Belkin</t>
  </si>
  <si>
    <t>P018</t>
  </si>
  <si>
    <t>Ethernet Cable</t>
  </si>
  <si>
    <t>D-Link</t>
  </si>
  <si>
    <t>P019</t>
  </si>
  <si>
    <t>Office Chair</t>
  </si>
  <si>
    <t>Furniture</t>
  </si>
  <si>
    <t>Godrej</t>
  </si>
  <si>
    <t>P020</t>
  </si>
  <si>
    <t>Office Desk</t>
  </si>
  <si>
    <t>IKEA</t>
  </si>
  <si>
    <t>P021</t>
  </si>
  <si>
    <t>Whiteboard</t>
  </si>
  <si>
    <t>Camel</t>
  </si>
  <si>
    <t>P022</t>
  </si>
  <si>
    <t>Marker Pack</t>
  </si>
  <si>
    <t>Stationery</t>
  </si>
  <si>
    <t>Camlin</t>
  </si>
  <si>
    <t>P023</t>
  </si>
  <si>
    <t>A4 Paper</t>
  </si>
  <si>
    <t>JK Paper</t>
  </si>
  <si>
    <t>P024</t>
  </si>
  <si>
    <t>Stapler</t>
  </si>
  <si>
    <t>Kangaro</t>
  </si>
  <si>
    <t>P025</t>
  </si>
  <si>
    <t>Calculator</t>
  </si>
  <si>
    <t>Casio</t>
  </si>
  <si>
    <t>Stock Status</t>
  </si>
  <si>
    <t>Stock Alerts</t>
  </si>
  <si>
    <t>Total Inventory</t>
  </si>
  <si>
    <t>Count of Product Name</t>
  </si>
  <si>
    <t>Row Labels</t>
  </si>
  <si>
    <t>Grand Total</t>
  </si>
  <si>
    <t>Sum of Total Inventory</t>
  </si>
  <si>
    <t>Sum of Quantity</t>
  </si>
  <si>
    <t>Total Products</t>
  </si>
  <si>
    <t>Inventory DashBoard</t>
  </si>
  <si>
    <t>Sum Of Total Inventory</t>
  </si>
  <si>
    <t>Low Stocks</t>
  </si>
  <si>
    <t>BAR CHART</t>
  </si>
  <si>
    <t>Column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</si>
</sst>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right" vertical="center"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'Day2'!$F$1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'Day2'!$B$2:$B$27</c:f>
              <c:strCache>
                <c:ptCount val="25"/>
                <c:pt idx="0">
                  <c:v>A4 Paper</c:v>
                </c:pt>
                <c:pt idx="1">
                  <c:v>Calculator</c:v>
                </c:pt>
                <c:pt idx="2">
                  <c:v>Ethernet Cable</c:v>
                </c:pt>
                <c:pt idx="3">
                  <c:v>External HDD</c:v>
                </c:pt>
                <c:pt idx="4">
                  <c:v>HDMI Cable</c:v>
                </c:pt>
                <c:pt idx="5">
                  <c:v>Headset</c:v>
                </c:pt>
                <c:pt idx="6">
                  <c:v>Keyboard</c:v>
                </c:pt>
                <c:pt idx="7">
                  <c:v>Laptop</c:v>
                </c:pt>
                <c:pt idx="8">
                  <c:v>Marker Pack</c:v>
                </c:pt>
                <c:pt idx="9">
                  <c:v>Monitor</c:v>
                </c:pt>
                <c:pt idx="10">
                  <c:v>Mouse</c:v>
                </c:pt>
                <c:pt idx="11">
                  <c:v>Office Chair</c:v>
                </c:pt>
                <c:pt idx="12">
                  <c:v>Office Desk</c:v>
                </c:pt>
                <c:pt idx="13">
                  <c:v>Pendrive 64GB</c:v>
                </c:pt>
                <c:pt idx="14">
                  <c:v>Power Bank</c:v>
                </c:pt>
                <c:pt idx="15">
                  <c:v>Printer</c:v>
                </c:pt>
                <c:pt idx="16">
                  <c:v>Projector</c:v>
                </c:pt>
                <c:pt idx="17">
                  <c:v>Router</c:v>
                </c:pt>
                <c:pt idx="18">
                  <c:v>Scanner</c:v>
                </c:pt>
                <c:pt idx="19">
                  <c:v>SSD 1TB</c:v>
                </c:pt>
                <c:pt idx="20">
                  <c:v>Stapler</c:v>
                </c:pt>
                <c:pt idx="21">
                  <c:v>Switch</c:v>
                </c:pt>
                <c:pt idx="22">
                  <c:v>UPS</c:v>
                </c:pt>
                <c:pt idx="23">
                  <c:v>Webcam</c:v>
                </c:pt>
                <c:pt idx="24">
                  <c:v>Whiteboard</c:v>
                </c:pt>
              </c:strCache>
            </c:strRef>
          </c:cat>
          <c:val>
            <c:numRef>
              <c:f>'Day2'!$F$2:$F$27</c:f>
              <c:numCache>
                <c:formatCode>General</c:formatCode>
                <c:ptCount val="26"/>
                <c:pt idx="0">
                  <c:v>80</c:v>
                </c:pt>
                <c:pt idx="1">
                  <c:v>16</c:v>
                </c:pt>
                <c:pt idx="2">
                  <c:v>40</c:v>
                </c:pt>
                <c:pt idx="3">
                  <c:v>20</c:v>
                </c:pt>
                <c:pt idx="4">
                  <c:v>35</c:v>
                </c:pt>
                <c:pt idx="5">
                  <c:v>9</c:v>
                </c:pt>
                <c:pt idx="6">
                  <c:v>18</c:v>
                </c:pt>
                <c:pt idx="7">
                  <c:v>12</c:v>
                </c:pt>
                <c:pt idx="8">
                  <c:v>100</c:v>
                </c:pt>
                <c:pt idx="9">
                  <c:v>8</c:v>
                </c:pt>
                <c:pt idx="10">
                  <c:v>50</c:v>
                </c:pt>
                <c:pt idx="11">
                  <c:v>10</c:v>
                </c:pt>
                <c:pt idx="12">
                  <c:v>0</c:v>
                </c:pt>
                <c:pt idx="13">
                  <c:v>60</c:v>
                </c:pt>
                <c:pt idx="14">
                  <c:v>25</c:v>
                </c:pt>
                <c:pt idx="15">
                  <c:v>5</c:v>
                </c:pt>
                <c:pt idx="16">
                  <c:v>4</c:v>
                </c:pt>
                <c:pt idx="17">
                  <c:v>14</c:v>
                </c:pt>
                <c:pt idx="18">
                  <c:v>8</c:v>
                </c:pt>
                <c:pt idx="19">
                  <c:v>15</c:v>
                </c:pt>
                <c:pt idx="20">
                  <c:v>18</c:v>
                </c:pt>
                <c:pt idx="21">
                  <c:v>6</c:v>
                </c:pt>
                <c:pt idx="22">
                  <c:v>13</c:v>
                </c:pt>
                <c:pt idx="23">
                  <c:v>10</c:v>
                </c:pt>
                <c:pt idx="2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8B-46B3-A484-3508326CF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0855792"/>
        <c:axId val="1010864912"/>
      </c:barChart>
      <c:catAx>
        <c:axId val="1010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864912"/>
        <c:crosses val="autoZero"/>
        <c:auto val="1"/>
        <c:lblAlgn val="ctr"/>
        <c:lblOffset val="100"/>
        <c:noMultiLvlLbl val="0"/>
      </c:catAx>
      <c:valAx>
        <c:axId val="101086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85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'Day2'!$J$1</c:f>
              <c:strCache>
                <c:ptCount val="1"/>
                <c:pt idx="0">
                  <c:v>Total Inventory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'Day2'!$B$2:$B$27</c:f>
              <c:strCache>
                <c:ptCount val="25"/>
                <c:pt idx="0">
                  <c:v>A4 Paper</c:v>
                </c:pt>
                <c:pt idx="1">
                  <c:v>Calculator</c:v>
                </c:pt>
                <c:pt idx="2">
                  <c:v>Ethernet Cable</c:v>
                </c:pt>
                <c:pt idx="3">
                  <c:v>External HDD</c:v>
                </c:pt>
                <c:pt idx="4">
                  <c:v>HDMI Cable</c:v>
                </c:pt>
                <c:pt idx="5">
                  <c:v>Headset</c:v>
                </c:pt>
                <c:pt idx="6">
                  <c:v>Keyboard</c:v>
                </c:pt>
                <c:pt idx="7">
                  <c:v>Laptop</c:v>
                </c:pt>
                <c:pt idx="8">
                  <c:v>Marker Pack</c:v>
                </c:pt>
                <c:pt idx="9">
                  <c:v>Monitor</c:v>
                </c:pt>
                <c:pt idx="10">
                  <c:v>Mouse</c:v>
                </c:pt>
                <c:pt idx="11">
                  <c:v>Office Chair</c:v>
                </c:pt>
                <c:pt idx="12">
                  <c:v>Office Desk</c:v>
                </c:pt>
                <c:pt idx="13">
                  <c:v>Pendrive 64GB</c:v>
                </c:pt>
                <c:pt idx="14">
                  <c:v>Power Bank</c:v>
                </c:pt>
                <c:pt idx="15">
                  <c:v>Printer</c:v>
                </c:pt>
                <c:pt idx="16">
                  <c:v>Projector</c:v>
                </c:pt>
                <c:pt idx="17">
                  <c:v>Router</c:v>
                </c:pt>
                <c:pt idx="18">
                  <c:v>Scanner</c:v>
                </c:pt>
                <c:pt idx="19">
                  <c:v>SSD 1TB</c:v>
                </c:pt>
                <c:pt idx="20">
                  <c:v>Stapler</c:v>
                </c:pt>
                <c:pt idx="21">
                  <c:v>Switch</c:v>
                </c:pt>
                <c:pt idx="22">
                  <c:v>UPS</c:v>
                </c:pt>
                <c:pt idx="23">
                  <c:v>Webcam</c:v>
                </c:pt>
                <c:pt idx="24">
                  <c:v>Whiteboard</c:v>
                </c:pt>
              </c:strCache>
            </c:strRef>
          </c:cat>
          <c:val>
            <c:numRef>
              <c:f>'Day2'!$J$2:$J$27</c:f>
              <c:numCache>
                <c:formatCode>General</c:formatCode>
                <c:ptCount val="26"/>
                <c:pt idx="0">
                  <c:v>28000</c:v>
                </c:pt>
                <c:pt idx="1">
                  <c:v>14400</c:v>
                </c:pt>
                <c:pt idx="2">
                  <c:v>18000</c:v>
                </c:pt>
                <c:pt idx="3">
                  <c:v>90000</c:v>
                </c:pt>
                <c:pt idx="4">
                  <c:v>24500</c:v>
                </c:pt>
                <c:pt idx="5">
                  <c:v>16200</c:v>
                </c:pt>
                <c:pt idx="6">
                  <c:v>21600</c:v>
                </c:pt>
                <c:pt idx="7">
                  <c:v>660000</c:v>
                </c:pt>
                <c:pt idx="8">
                  <c:v>25000</c:v>
                </c:pt>
                <c:pt idx="9">
                  <c:v>96000</c:v>
                </c:pt>
                <c:pt idx="10">
                  <c:v>40000</c:v>
                </c:pt>
                <c:pt idx="11">
                  <c:v>75000</c:v>
                </c:pt>
                <c:pt idx="12">
                  <c:v>0</c:v>
                </c:pt>
                <c:pt idx="13">
                  <c:v>39000</c:v>
                </c:pt>
                <c:pt idx="14">
                  <c:v>45000</c:v>
                </c:pt>
                <c:pt idx="15">
                  <c:v>75000</c:v>
                </c:pt>
                <c:pt idx="16">
                  <c:v>140000</c:v>
                </c:pt>
                <c:pt idx="17">
                  <c:v>35000</c:v>
                </c:pt>
                <c:pt idx="18">
                  <c:v>72000</c:v>
                </c:pt>
                <c:pt idx="19">
                  <c:v>105000</c:v>
                </c:pt>
                <c:pt idx="20">
                  <c:v>5400</c:v>
                </c:pt>
                <c:pt idx="21">
                  <c:v>51000</c:v>
                </c:pt>
                <c:pt idx="22">
                  <c:v>78000</c:v>
                </c:pt>
                <c:pt idx="23">
                  <c:v>22000</c:v>
                </c:pt>
                <c:pt idx="24">
                  <c:v>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21-4E74-A8BB-2B0D3A2DA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0837072"/>
        <c:axId val="1010834192"/>
      </c:barChart>
      <c:catAx>
        <c:axId val="1010837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834192"/>
        <c:crosses val="autoZero"/>
        <c:auto val="1"/>
        <c:lblAlgn val="ctr"/>
        <c:lblOffset val="100"/>
        <c:noMultiLvlLbl val="0"/>
      </c:catAx>
      <c:valAx>
        <c:axId val="101083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83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[Day2 .xlsx]Bar chart!PivotTable11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FB-4011-9F0E-6E46DA37A0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FB-4011-9F0E-6E46DA37A0A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FB-4011-9F0E-6E46DA37A0A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AFB-4011-9F0E-6E46DA37A0A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AFB-4011-9F0E-6E46DA37A0A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AFB-4011-9F0E-6E46DA37A0A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AFB-4011-9F0E-6E46DA37A0A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AFB-4011-9F0E-6E46DA37A0A5}"/>
              </c:ext>
            </c:extLst>
          </c:dPt>
          <c:cat>
            <c:strRef>
              <c:f>'Bar chart'!$A$4:$A$12</c:f>
              <c:strCache>
                <c:ptCount val="8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Networking</c:v>
                </c:pt>
                <c:pt idx="4">
                  <c:v>Office</c:v>
                </c:pt>
                <c:pt idx="5">
                  <c:v>Power</c:v>
                </c:pt>
                <c:pt idx="6">
                  <c:v>Stationery</c:v>
                </c:pt>
                <c:pt idx="7">
                  <c:v>Storage</c:v>
                </c:pt>
              </c:strCache>
            </c:strRef>
          </c:cat>
          <c:val>
            <c:numRef>
              <c:f>'Bar chart'!$B$4:$B$12</c:f>
              <c:numCache>
                <c:formatCode>General</c:formatCode>
                <c:ptCount val="8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0-4F00-9202-60F84C112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543340</xdr:colOff>
      <xdr:row>4</xdr:row>
      <xdr:rowOff>115954</xdr:rowOff>
    </xdr:from>
    <xdr:to>
      <xdr:col>25</xdr:col>
      <xdr:colOff>238540</xdr:colOff>
      <xdr:row>16</xdr:row>
      <xdr:rowOff>271669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BD5622-FE54-DFCA-82F6-B0B77A4408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6628</xdr:colOff>
      <xdr:row>18</xdr:row>
      <xdr:rowOff>43068</xdr:rowOff>
    </xdr:from>
    <xdr:to>
      <xdr:col>25</xdr:col>
      <xdr:colOff>311428</xdr:colOff>
      <xdr:row>27</xdr:row>
      <xdr:rowOff>43068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646FB2-BF2C-6FC0-A5D9-999BC30CE8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99060</xdr:colOff>
      <xdr:row>7</xdr:row>
      <xdr:rowOff>179070</xdr:rowOff>
    </xdr:from>
    <xdr:to>
      <xdr:col>9</xdr:col>
      <xdr:colOff>556260</xdr:colOff>
      <xdr:row>22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BD5B36-1469-02A8-BC1B-6852A2579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wjanya" refreshedDate="46199.802424421294" createdVersion="8" refreshedVersion="8" minRefreshableVersion="3" recordCount="25" xr:uid="{CA5B5CBE-FE6D-45BC-BF0D-08745CA47E7A}">
  <cacheSource type="worksheet">
    <worksheetSource ref="B1:C26" sheet="Day2"/>
  </cacheSource>
  <cacheFields count="2">
    <cacheField name="Product Name" numFmtId="0">
      <sharedItems count="25">
        <s v="Laptop"/>
        <s v="Mouse"/>
        <s v="Keyboard"/>
        <s v="Monitor"/>
        <s v="Printer"/>
        <s v="Router"/>
        <s v="Switch"/>
        <s v="External HDD"/>
        <s v="SSD 1TB"/>
        <s v="Pendrive 64GB"/>
        <s v="Webcam"/>
        <s v="Headset"/>
        <s v="Projector"/>
        <s v="Scanner"/>
        <s v="UPS"/>
        <s v="Power Bank"/>
        <s v="HDMI Cable"/>
        <s v="Ethernet Cable"/>
        <s v="Office Chair"/>
        <s v="Office Desk"/>
        <s v="Whiteboard"/>
        <s v="Marker Pack"/>
        <s v="A4 Paper"/>
        <s v="Stapler"/>
        <s v="Calculator"/>
      </sharedItems>
    </cacheField>
    <cacheField name="Category" numFmtId="0">
      <sharedItems count="8">
        <s v="Electronics"/>
        <s v="Networking"/>
        <s v="Storage"/>
        <s v="Accessories"/>
        <s v="Office"/>
        <s v="Power"/>
        <s v="Furniture"/>
        <s v="Statione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wjanya" refreshedDate="46199.829264814813" createdVersion="8" refreshedVersion="8" minRefreshableVersion="3" recordCount="25" xr:uid="{413176A8-4255-4417-92B0-DF6E4FFA00A9}">
  <cacheSource type="worksheet">
    <worksheetSource ref="J1:K26" sheet="Day2"/>
  </cacheSource>
  <cacheFields count="2">
    <cacheField name="Total Inventory" numFmtId="0">
      <sharedItems containsSemiMixedTypes="0" containsString="0" containsNumber="1" containsInteger="1" minValue="0" maxValue="660000"/>
    </cacheField>
    <cacheField name="Category" numFmtId="0">
      <sharedItems count="8">
        <s v="Stationery"/>
        <s v="Office"/>
        <s v="Networking"/>
        <s v="Storage"/>
        <s v="Accessories"/>
        <s v="Electronics"/>
        <s v="Furniture"/>
        <s v="Pow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wjanya" refreshedDate="46199.829973842592" createdVersion="8" refreshedVersion="8" minRefreshableVersion="3" recordCount="25" xr:uid="{26CBD5B9-FBC5-41F9-AE69-AE2F3D5BA207}">
  <cacheSource type="worksheet">
    <worksheetSource ref="D1:F26" sheet="Day2"/>
  </cacheSource>
  <cacheFields count="3">
    <cacheField name="Supplier" numFmtId="0">
      <sharedItems count="22">
        <s v="JK Paper"/>
        <s v="Casio"/>
        <s v="D-Link"/>
        <s v="Seagate"/>
        <s v="Belkin"/>
        <s v="JBL"/>
        <s v="HP"/>
        <s v="Dell"/>
        <s v="Camlin"/>
        <s v="Samsung"/>
        <s v="Logitech"/>
        <s v="Godrej"/>
        <s v="IKEA"/>
        <s v="SanDisk"/>
        <s v="Mi"/>
        <s v="Canon"/>
        <s v="Epson"/>
        <s v="TP-Link"/>
        <s v="Kangaro"/>
        <s v="Cisco"/>
        <s v="APC"/>
        <s v="Camel"/>
      </sharedItems>
    </cacheField>
    <cacheField name="Unit Price" numFmtId="0">
      <sharedItems containsSemiMixedTypes="0" containsString="0" containsNumber="1" containsInteger="1" minValue="250" maxValue="55000"/>
    </cacheField>
    <cacheField name="Quantity" numFmtId="0">
      <sharedItems containsSemiMixedTypes="0" containsString="0" containsNumber="1" containsInteg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</r>
  <r>
    <x v="1"/>
    <x v="0"/>
  </r>
  <r>
    <x v="2"/>
    <x v="0"/>
  </r>
  <r>
    <x v="3"/>
    <x v="0"/>
  </r>
  <r>
    <x v="4"/>
    <x v="0"/>
  </r>
  <r>
    <x v="5"/>
    <x v="1"/>
  </r>
  <r>
    <x v="6"/>
    <x v="1"/>
  </r>
  <r>
    <x v="7"/>
    <x v="2"/>
  </r>
  <r>
    <x v="8"/>
    <x v="2"/>
  </r>
  <r>
    <x v="9"/>
    <x v="2"/>
  </r>
  <r>
    <x v="10"/>
    <x v="3"/>
  </r>
  <r>
    <x v="11"/>
    <x v="3"/>
  </r>
  <r>
    <x v="12"/>
    <x v="4"/>
  </r>
  <r>
    <x v="13"/>
    <x v="4"/>
  </r>
  <r>
    <x v="14"/>
    <x v="5"/>
  </r>
  <r>
    <x v="15"/>
    <x v="5"/>
  </r>
  <r>
    <x v="16"/>
    <x v="3"/>
  </r>
  <r>
    <x v="17"/>
    <x v="1"/>
  </r>
  <r>
    <x v="18"/>
    <x v="6"/>
  </r>
  <r>
    <x v="19"/>
    <x v="6"/>
  </r>
  <r>
    <x v="20"/>
    <x v="4"/>
  </r>
  <r>
    <x v="21"/>
    <x v="7"/>
  </r>
  <r>
    <x v="22"/>
    <x v="7"/>
  </r>
  <r>
    <x v="23"/>
    <x v="7"/>
  </r>
  <r>
    <x v="24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28000"/>
    <x v="0"/>
  </r>
  <r>
    <n v="14400"/>
    <x v="1"/>
  </r>
  <r>
    <n v="18000"/>
    <x v="2"/>
  </r>
  <r>
    <n v="90000"/>
    <x v="3"/>
  </r>
  <r>
    <n v="24500"/>
    <x v="4"/>
  </r>
  <r>
    <n v="16200"/>
    <x v="4"/>
  </r>
  <r>
    <n v="21600"/>
    <x v="5"/>
  </r>
  <r>
    <n v="660000"/>
    <x v="5"/>
  </r>
  <r>
    <n v="25000"/>
    <x v="0"/>
  </r>
  <r>
    <n v="96000"/>
    <x v="5"/>
  </r>
  <r>
    <n v="40000"/>
    <x v="5"/>
  </r>
  <r>
    <n v="75000"/>
    <x v="6"/>
  </r>
  <r>
    <n v="0"/>
    <x v="6"/>
  </r>
  <r>
    <n v="39000"/>
    <x v="3"/>
  </r>
  <r>
    <n v="45000"/>
    <x v="7"/>
  </r>
  <r>
    <n v="75000"/>
    <x v="5"/>
  </r>
  <r>
    <n v="140000"/>
    <x v="1"/>
  </r>
  <r>
    <n v="35000"/>
    <x v="2"/>
  </r>
  <r>
    <n v="72000"/>
    <x v="1"/>
  </r>
  <r>
    <n v="105000"/>
    <x v="3"/>
  </r>
  <r>
    <n v="5400"/>
    <x v="0"/>
  </r>
  <r>
    <n v="51000"/>
    <x v="2"/>
  </r>
  <r>
    <n v="78000"/>
    <x v="7"/>
  </r>
  <r>
    <n v="22000"/>
    <x v="4"/>
  </r>
  <r>
    <n v="28000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n v="350"/>
    <n v="80"/>
  </r>
  <r>
    <x v="1"/>
    <n v="900"/>
    <n v="16"/>
  </r>
  <r>
    <x v="2"/>
    <n v="450"/>
    <n v="40"/>
  </r>
  <r>
    <x v="3"/>
    <n v="4500"/>
    <n v="20"/>
  </r>
  <r>
    <x v="4"/>
    <n v="700"/>
    <n v="35"/>
  </r>
  <r>
    <x v="5"/>
    <n v="1800"/>
    <n v="9"/>
  </r>
  <r>
    <x v="6"/>
    <n v="1200"/>
    <n v="18"/>
  </r>
  <r>
    <x v="7"/>
    <n v="55000"/>
    <n v="12"/>
  </r>
  <r>
    <x v="8"/>
    <n v="250"/>
    <n v="100"/>
  </r>
  <r>
    <x v="9"/>
    <n v="12000"/>
    <n v="8"/>
  </r>
  <r>
    <x v="10"/>
    <n v="800"/>
    <n v="50"/>
  </r>
  <r>
    <x v="11"/>
    <n v="7500"/>
    <n v="10"/>
  </r>
  <r>
    <x v="12"/>
    <n v="12000"/>
    <n v="0"/>
  </r>
  <r>
    <x v="13"/>
    <n v="650"/>
    <n v="60"/>
  </r>
  <r>
    <x v="14"/>
    <n v="1800"/>
    <n v="25"/>
  </r>
  <r>
    <x v="15"/>
    <n v="15000"/>
    <n v="5"/>
  </r>
  <r>
    <x v="16"/>
    <n v="35000"/>
    <n v="4"/>
  </r>
  <r>
    <x v="17"/>
    <n v="2500"/>
    <n v="14"/>
  </r>
  <r>
    <x v="15"/>
    <n v="9000"/>
    <n v="8"/>
  </r>
  <r>
    <x v="9"/>
    <n v="7000"/>
    <n v="15"/>
  </r>
  <r>
    <x v="18"/>
    <n v="300"/>
    <n v="18"/>
  </r>
  <r>
    <x v="19"/>
    <n v="8500"/>
    <n v="6"/>
  </r>
  <r>
    <x v="20"/>
    <n v="6000"/>
    <n v="13"/>
  </r>
  <r>
    <x v="10"/>
    <n v="2200"/>
    <n v="10"/>
  </r>
  <r>
    <x v="21"/>
    <n v="3500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6F0C94-973F-42CC-8D0A-0D4D357FA637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2" firstHeaderRow="1" firstDataRow="1" firstDataCol="1"/>
  <pivotFields count="2">
    <pivotField dataField="1" showAll="0">
      <items count="26">
        <item x="22"/>
        <item x="24"/>
        <item x="17"/>
        <item x="7"/>
        <item x="16"/>
        <item x="11"/>
        <item x="2"/>
        <item x="0"/>
        <item x="21"/>
        <item x="3"/>
        <item x="1"/>
        <item x="18"/>
        <item x="19"/>
        <item x="9"/>
        <item x="15"/>
        <item x="4"/>
        <item x="12"/>
        <item x="5"/>
        <item x="13"/>
        <item x="8"/>
        <item x="23"/>
        <item x="6"/>
        <item x="14"/>
        <item x="10"/>
        <item x="20"/>
        <item t="default"/>
      </items>
    </pivotField>
    <pivotField axis="axisRow" showAll="0">
      <items count="9">
        <item x="3"/>
        <item x="0"/>
        <item x="6"/>
        <item x="1"/>
        <item x="4"/>
        <item x="5"/>
        <item x="7"/>
        <item x="2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Product Name" fld="0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29E876-FDBF-4765-9A81-1B0136F99883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2">
    <pivotField dataField="1" showAll="0"/>
    <pivotField axis="axisRow" showAll="0">
      <items count="9">
        <item x="4"/>
        <item x="5"/>
        <item x="6"/>
        <item x="2"/>
        <item x="1"/>
        <item x="7"/>
        <item x="0"/>
        <item x="3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Inventor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6A7B83-E7EA-445E-B236-C938C956BB8E}" name="PivotTable1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6" firstHeaderRow="1" firstDataRow="1" firstDataCol="1"/>
  <pivotFields count="3">
    <pivotField axis="axisRow" showAll="0">
      <items count="23">
        <item x="20"/>
        <item x="4"/>
        <item x="21"/>
        <item x="8"/>
        <item x="15"/>
        <item x="1"/>
        <item x="19"/>
        <item x="7"/>
        <item x="2"/>
        <item x="16"/>
        <item x="11"/>
        <item x="6"/>
        <item x="12"/>
        <item x="5"/>
        <item x="0"/>
        <item x="18"/>
        <item x="10"/>
        <item x="14"/>
        <item x="9"/>
        <item x="13"/>
        <item x="3"/>
        <item x="17"/>
        <item t="default"/>
      </items>
    </pivotField>
    <pivotField showAll="0"/>
    <pivotField dataField="1" showAl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um of Quanti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CEB23-C6F5-413A-AAD3-E3F030320F4A}">
  <dimension ref="A1:AK27"/>
  <sheetViews>
    <sheetView topLeftCell="AB1" zoomScale="115" workbookViewId="0">
      <selection activeCell="AK9" sqref="AK9"/>
    </sheetView>
  </sheetViews>
  <sheetFormatPr defaultRowHeight="14.4" x14ac:dyDescent="0.3"/>
  <cols>
    <col min="2" max="2" width="16.21875" customWidth="1"/>
    <col min="3" max="3" width="15.21875" customWidth="1"/>
    <col min="6" max="6" width="12.77734375" customWidth="1"/>
    <col min="8" max="8" width="12.6640625" customWidth="1"/>
    <col min="9" max="9" width="12.77734375" customWidth="1"/>
    <col min="10" max="10" width="11.6640625" customWidth="1"/>
    <col min="11" max="11" width="15.21875" customWidth="1"/>
    <col min="12" max="12" width="11.6640625" customWidth="1"/>
  </cols>
  <sheetData>
    <row r="1" spans="1:37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87</v>
      </c>
      <c r="I1" s="5" t="s">
        <v>88</v>
      </c>
      <c r="J1" s="5" t="s">
        <v>89</v>
      </c>
      <c r="K1" s="4" t="s">
        <v>2</v>
      </c>
      <c r="L1" s="8"/>
      <c r="N1" s="12" t="s">
        <v>0</v>
      </c>
      <c r="O1" s="12" t="s">
        <v>1</v>
      </c>
      <c r="P1" s="13" t="s">
        <v>4</v>
      </c>
      <c r="AE1" s="14" t="s">
        <v>96</v>
      </c>
      <c r="AF1" s="14"/>
      <c r="AG1" s="14"/>
      <c r="AH1" s="14"/>
      <c r="AI1" s="14"/>
      <c r="AJ1" s="14"/>
      <c r="AK1" s="14"/>
    </row>
    <row r="2" spans="1:37" x14ac:dyDescent="0.3">
      <c r="A2" s="1" t="s">
        <v>78</v>
      </c>
      <c r="B2" s="1" t="s">
        <v>79</v>
      </c>
      <c r="C2" s="1" t="s">
        <v>76</v>
      </c>
      <c r="D2" s="1" t="s">
        <v>80</v>
      </c>
      <c r="E2" s="2">
        <v>350</v>
      </c>
      <c r="F2" s="2">
        <v>80</v>
      </c>
      <c r="G2" s="2">
        <v>50</v>
      </c>
      <c r="H2" s="3" t="str">
        <f t="shared" ref="H2:H26" si="0">IF(F2&gt;=G2,"In Stock","Low Stock")</f>
        <v>In Stock</v>
      </c>
      <c r="I2" s="3" t="str">
        <f t="shared" ref="I2:I26" si="1">IF(F2=0,"Out of Stock",IF(F2&lt;G2,"Order Now","Available"))</f>
        <v>Available</v>
      </c>
      <c r="J2" s="3">
        <f t="shared" ref="J2:J26" si="2">E2*F2</f>
        <v>28000</v>
      </c>
      <c r="K2" s="1" t="s">
        <v>76</v>
      </c>
      <c r="N2" s="1" t="s">
        <v>7</v>
      </c>
      <c r="O2" s="1" t="s">
        <v>8</v>
      </c>
      <c r="P2" s="3">
        <f>VLOOKUP(N2,$A$2:$H$26,5,FALSE)</f>
        <v>55000</v>
      </c>
      <c r="AE2" s="14"/>
      <c r="AF2" s="14"/>
      <c r="AG2" s="14"/>
      <c r="AH2" s="14"/>
      <c r="AI2" s="14"/>
      <c r="AJ2" s="14"/>
      <c r="AK2" s="14"/>
    </row>
    <row r="3" spans="1:37" ht="19.8" x14ac:dyDescent="0.4">
      <c r="A3" s="1" t="s">
        <v>84</v>
      </c>
      <c r="B3" s="1" t="s">
        <v>85</v>
      </c>
      <c r="C3" s="1" t="s">
        <v>47</v>
      </c>
      <c r="D3" s="1" t="s">
        <v>86</v>
      </c>
      <c r="E3" s="2">
        <v>900</v>
      </c>
      <c r="F3" s="2">
        <v>16</v>
      </c>
      <c r="G3" s="2">
        <v>10</v>
      </c>
      <c r="H3" s="3" t="str">
        <f t="shared" si="0"/>
        <v>In Stock</v>
      </c>
      <c r="I3" s="3" t="str">
        <f t="shared" si="1"/>
        <v>Available</v>
      </c>
      <c r="J3" s="3">
        <f t="shared" si="2"/>
        <v>14400</v>
      </c>
      <c r="K3" s="1" t="s">
        <v>47</v>
      </c>
      <c r="N3" s="1" t="s">
        <v>11</v>
      </c>
      <c r="O3" s="1" t="s">
        <v>12</v>
      </c>
      <c r="P3" s="3">
        <f t="shared" ref="P3:P26" si="3">VLOOKUP(N3,$A$2:$H$26,5,FALSE)</f>
        <v>800</v>
      </c>
      <c r="S3" s="11" t="s">
        <v>100</v>
      </c>
      <c r="T3" s="11"/>
      <c r="AE3" s="9" t="s">
        <v>95</v>
      </c>
      <c r="AF3" s="9"/>
      <c r="AG3" s="9" t="s">
        <v>97</v>
      </c>
      <c r="AH3" s="9"/>
      <c r="AI3" s="9"/>
      <c r="AJ3" s="9" t="s">
        <v>98</v>
      </c>
      <c r="AK3" s="9"/>
    </row>
    <row r="4" spans="1:37" x14ac:dyDescent="0.3">
      <c r="A4" s="1" t="s">
        <v>61</v>
      </c>
      <c r="B4" s="1" t="s">
        <v>62</v>
      </c>
      <c r="C4" s="1" t="s">
        <v>25</v>
      </c>
      <c r="D4" s="1" t="s">
        <v>63</v>
      </c>
      <c r="E4" s="2">
        <v>450</v>
      </c>
      <c r="F4" s="2">
        <v>40</v>
      </c>
      <c r="G4" s="2">
        <v>25</v>
      </c>
      <c r="H4" s="3" t="str">
        <f t="shared" si="0"/>
        <v>In Stock</v>
      </c>
      <c r="I4" s="3" t="str">
        <f t="shared" si="1"/>
        <v>Available</v>
      </c>
      <c r="J4" s="3">
        <f t="shared" si="2"/>
        <v>18000</v>
      </c>
      <c r="K4" s="1" t="s">
        <v>25</v>
      </c>
      <c r="N4" s="1" t="s">
        <v>14</v>
      </c>
      <c r="O4" s="1" t="s">
        <v>15</v>
      </c>
      <c r="P4" s="3">
        <f t="shared" si="3"/>
        <v>1200</v>
      </c>
      <c r="AE4" s="9">
        <f>COUNTA(A2:B26)</f>
        <v>50</v>
      </c>
      <c r="AF4" s="9"/>
      <c r="AG4" s="9">
        <f>SUM(J2:J26)</f>
        <v>1804100</v>
      </c>
      <c r="AH4" s="9"/>
      <c r="AI4" s="3"/>
      <c r="AJ4" s="3">
        <f>COUNTIF(H2:H26,"Low Stock")</f>
        <v>6</v>
      </c>
      <c r="AK4" s="3"/>
    </row>
    <row r="5" spans="1:37" x14ac:dyDescent="0.3">
      <c r="A5" s="1" t="s">
        <v>30</v>
      </c>
      <c r="B5" s="1" t="s">
        <v>31</v>
      </c>
      <c r="C5" s="1" t="s">
        <v>32</v>
      </c>
      <c r="D5" s="1" t="s">
        <v>33</v>
      </c>
      <c r="E5" s="2">
        <v>4500</v>
      </c>
      <c r="F5" s="2">
        <v>20</v>
      </c>
      <c r="G5" s="2">
        <v>12</v>
      </c>
      <c r="H5" s="3" t="str">
        <f t="shared" si="0"/>
        <v>In Stock</v>
      </c>
      <c r="I5" s="3" t="str">
        <f t="shared" si="1"/>
        <v>Available</v>
      </c>
      <c r="J5" s="3">
        <f t="shared" si="2"/>
        <v>90000</v>
      </c>
      <c r="K5" s="1" t="s">
        <v>32</v>
      </c>
      <c r="N5" s="1" t="s">
        <v>17</v>
      </c>
      <c r="O5" s="1" t="s">
        <v>18</v>
      </c>
      <c r="P5" s="3">
        <f t="shared" si="3"/>
        <v>12000</v>
      </c>
    </row>
    <row r="6" spans="1:37" x14ac:dyDescent="0.3">
      <c r="A6" s="1" t="s">
        <v>58</v>
      </c>
      <c r="B6" s="1" t="s">
        <v>59</v>
      </c>
      <c r="C6" s="1" t="s">
        <v>41</v>
      </c>
      <c r="D6" s="1" t="s">
        <v>60</v>
      </c>
      <c r="E6" s="2">
        <v>700</v>
      </c>
      <c r="F6" s="2">
        <v>35</v>
      </c>
      <c r="G6" s="2">
        <v>20</v>
      </c>
      <c r="H6" s="3" t="str">
        <f t="shared" si="0"/>
        <v>In Stock</v>
      </c>
      <c r="I6" s="3" t="str">
        <f t="shared" si="1"/>
        <v>Available</v>
      </c>
      <c r="J6" s="3">
        <f t="shared" si="2"/>
        <v>24500</v>
      </c>
      <c r="K6" s="1" t="s">
        <v>41</v>
      </c>
      <c r="N6" s="1" t="s">
        <v>20</v>
      </c>
      <c r="O6" s="1" t="s">
        <v>21</v>
      </c>
      <c r="P6" s="3">
        <f t="shared" si="3"/>
        <v>15000</v>
      </c>
    </row>
    <row r="7" spans="1:37" x14ac:dyDescent="0.3">
      <c r="A7" s="1" t="s">
        <v>42</v>
      </c>
      <c r="B7" s="1" t="s">
        <v>43</v>
      </c>
      <c r="C7" s="1" t="s">
        <v>41</v>
      </c>
      <c r="D7" s="1" t="s">
        <v>44</v>
      </c>
      <c r="E7" s="2">
        <v>1800</v>
      </c>
      <c r="F7" s="2">
        <v>9</v>
      </c>
      <c r="G7" s="2">
        <v>10</v>
      </c>
      <c r="H7" s="3" t="str">
        <f t="shared" si="0"/>
        <v>Low Stock</v>
      </c>
      <c r="I7" s="3" t="str">
        <f t="shared" si="1"/>
        <v>Order Now</v>
      </c>
      <c r="J7" s="3">
        <f t="shared" si="2"/>
        <v>16200</v>
      </c>
      <c r="K7" s="1" t="s">
        <v>41</v>
      </c>
      <c r="N7" s="1" t="s">
        <v>23</v>
      </c>
      <c r="O7" s="1" t="s">
        <v>24</v>
      </c>
      <c r="P7" s="3">
        <f t="shared" si="3"/>
        <v>2500</v>
      </c>
    </row>
    <row r="8" spans="1:37" x14ac:dyDescent="0.3">
      <c r="A8" s="1" t="s">
        <v>14</v>
      </c>
      <c r="B8" s="1" t="s">
        <v>15</v>
      </c>
      <c r="C8" s="1" t="s">
        <v>9</v>
      </c>
      <c r="D8" s="1" t="s">
        <v>16</v>
      </c>
      <c r="E8" s="2">
        <v>1200</v>
      </c>
      <c r="F8" s="2">
        <v>18</v>
      </c>
      <c r="G8" s="2">
        <v>15</v>
      </c>
      <c r="H8" s="3" t="str">
        <f t="shared" si="0"/>
        <v>In Stock</v>
      </c>
      <c r="I8" s="3" t="str">
        <f t="shared" si="1"/>
        <v>Available</v>
      </c>
      <c r="J8" s="3">
        <f t="shared" si="2"/>
        <v>21600</v>
      </c>
      <c r="K8" s="1" t="s">
        <v>9</v>
      </c>
      <c r="N8" s="1" t="s">
        <v>27</v>
      </c>
      <c r="O8" s="1" t="s">
        <v>28</v>
      </c>
      <c r="P8" s="3">
        <f t="shared" si="3"/>
        <v>8500</v>
      </c>
    </row>
    <row r="9" spans="1:37" ht="28.8" x14ac:dyDescent="0.3">
      <c r="A9" s="1" t="s">
        <v>7</v>
      </c>
      <c r="B9" s="1" t="s">
        <v>8</v>
      </c>
      <c r="C9" s="1" t="s">
        <v>9</v>
      </c>
      <c r="D9" s="1" t="s">
        <v>10</v>
      </c>
      <c r="E9" s="2">
        <v>55000</v>
      </c>
      <c r="F9" s="2">
        <v>12</v>
      </c>
      <c r="G9" s="2">
        <v>10</v>
      </c>
      <c r="H9" s="3" t="str">
        <f t="shared" si="0"/>
        <v>In Stock</v>
      </c>
      <c r="I9" s="3" t="str">
        <f t="shared" si="1"/>
        <v>Available</v>
      </c>
      <c r="J9" s="3">
        <f t="shared" si="2"/>
        <v>660000</v>
      </c>
      <c r="K9" s="1" t="s">
        <v>9</v>
      </c>
      <c r="N9" s="1" t="s">
        <v>30</v>
      </c>
      <c r="O9" s="1" t="s">
        <v>31</v>
      </c>
      <c r="P9" s="3">
        <f t="shared" si="3"/>
        <v>4500</v>
      </c>
    </row>
    <row r="10" spans="1:37" x14ac:dyDescent="0.3">
      <c r="A10" s="1" t="s">
        <v>74</v>
      </c>
      <c r="B10" s="1" t="s">
        <v>75</v>
      </c>
      <c r="C10" s="1" t="s">
        <v>76</v>
      </c>
      <c r="D10" s="1" t="s">
        <v>77</v>
      </c>
      <c r="E10" s="2">
        <v>250</v>
      </c>
      <c r="F10" s="2">
        <v>100</v>
      </c>
      <c r="G10" s="2">
        <v>40</v>
      </c>
      <c r="H10" s="3" t="str">
        <f t="shared" si="0"/>
        <v>In Stock</v>
      </c>
      <c r="I10" s="3" t="str">
        <f t="shared" si="1"/>
        <v>Available</v>
      </c>
      <c r="J10" s="3">
        <f t="shared" si="2"/>
        <v>25000</v>
      </c>
      <c r="K10" s="1" t="s">
        <v>76</v>
      </c>
      <c r="N10" s="1" t="s">
        <v>34</v>
      </c>
      <c r="O10" s="1" t="s">
        <v>35</v>
      </c>
      <c r="P10" s="3">
        <f t="shared" si="3"/>
        <v>7000</v>
      </c>
    </row>
    <row r="11" spans="1:37" ht="28.8" x14ac:dyDescent="0.3">
      <c r="A11" s="1" t="s">
        <v>17</v>
      </c>
      <c r="B11" s="1" t="s">
        <v>18</v>
      </c>
      <c r="C11" s="1" t="s">
        <v>9</v>
      </c>
      <c r="D11" s="1" t="s">
        <v>19</v>
      </c>
      <c r="E11" s="2">
        <v>12000</v>
      </c>
      <c r="F11" s="2">
        <v>8</v>
      </c>
      <c r="G11" s="2">
        <v>10</v>
      </c>
      <c r="H11" s="3" t="str">
        <f t="shared" si="0"/>
        <v>Low Stock</v>
      </c>
      <c r="I11" s="3" t="str">
        <f t="shared" si="1"/>
        <v>Order Now</v>
      </c>
      <c r="J11" s="3">
        <f t="shared" si="2"/>
        <v>96000</v>
      </c>
      <c r="K11" s="1" t="s">
        <v>9</v>
      </c>
      <c r="N11" s="1" t="s">
        <v>36</v>
      </c>
      <c r="O11" s="1" t="s">
        <v>37</v>
      </c>
      <c r="P11" s="3">
        <f t="shared" si="3"/>
        <v>650</v>
      </c>
    </row>
    <row r="12" spans="1:37" x14ac:dyDescent="0.3">
      <c r="A12" s="1" t="s">
        <v>11</v>
      </c>
      <c r="B12" s="1" t="s">
        <v>12</v>
      </c>
      <c r="C12" s="1" t="s">
        <v>9</v>
      </c>
      <c r="D12" s="1" t="s">
        <v>13</v>
      </c>
      <c r="E12" s="2">
        <v>800</v>
      </c>
      <c r="F12" s="2">
        <v>50</v>
      </c>
      <c r="G12" s="2">
        <v>20</v>
      </c>
      <c r="H12" s="3" t="str">
        <f t="shared" si="0"/>
        <v>In Stock</v>
      </c>
      <c r="I12" s="3" t="str">
        <f t="shared" si="1"/>
        <v>Available</v>
      </c>
      <c r="J12" s="3">
        <f t="shared" si="2"/>
        <v>40000</v>
      </c>
      <c r="K12" s="1" t="s">
        <v>9</v>
      </c>
      <c r="N12" s="1" t="s">
        <v>39</v>
      </c>
      <c r="O12" s="1" t="s">
        <v>40</v>
      </c>
      <c r="P12" s="3">
        <f t="shared" si="3"/>
        <v>2200</v>
      </c>
    </row>
    <row r="13" spans="1:37" x14ac:dyDescent="0.3">
      <c r="A13" s="1" t="s">
        <v>64</v>
      </c>
      <c r="B13" s="1" t="s">
        <v>65</v>
      </c>
      <c r="C13" s="1" t="s">
        <v>66</v>
      </c>
      <c r="D13" s="1" t="s">
        <v>67</v>
      </c>
      <c r="E13" s="2">
        <v>7500</v>
      </c>
      <c r="F13" s="2">
        <v>10</v>
      </c>
      <c r="G13" s="2">
        <v>10</v>
      </c>
      <c r="H13" s="3" t="str">
        <f t="shared" si="0"/>
        <v>In Stock</v>
      </c>
      <c r="I13" s="3" t="str">
        <f t="shared" si="1"/>
        <v>Available</v>
      </c>
      <c r="J13" s="3">
        <f t="shared" si="2"/>
        <v>75000</v>
      </c>
      <c r="K13" s="1" t="s">
        <v>66</v>
      </c>
      <c r="N13" s="1" t="s">
        <v>42</v>
      </c>
      <c r="O13" s="1" t="s">
        <v>43</v>
      </c>
      <c r="P13" s="3">
        <f t="shared" si="3"/>
        <v>1800</v>
      </c>
    </row>
    <row r="14" spans="1:37" x14ac:dyDescent="0.3">
      <c r="A14" s="1" t="s">
        <v>68</v>
      </c>
      <c r="B14" s="1" t="s">
        <v>69</v>
      </c>
      <c r="C14" s="1" t="s">
        <v>66</v>
      </c>
      <c r="D14" s="1" t="s">
        <v>70</v>
      </c>
      <c r="E14" s="2">
        <v>12000</v>
      </c>
      <c r="F14" s="2">
        <v>0</v>
      </c>
      <c r="G14" s="2">
        <v>5</v>
      </c>
      <c r="H14" s="3" t="str">
        <f t="shared" si="0"/>
        <v>Low Stock</v>
      </c>
      <c r="I14" s="3" t="str">
        <f t="shared" si="1"/>
        <v>Out of Stock</v>
      </c>
      <c r="J14" s="3">
        <f t="shared" si="2"/>
        <v>0</v>
      </c>
      <c r="K14" s="1" t="s">
        <v>66</v>
      </c>
      <c r="N14" s="1" t="s">
        <v>45</v>
      </c>
      <c r="O14" s="1" t="s">
        <v>46</v>
      </c>
      <c r="P14" s="3">
        <f t="shared" si="3"/>
        <v>35000</v>
      </c>
    </row>
    <row r="15" spans="1:37" x14ac:dyDescent="0.3">
      <c r="A15" s="1" t="s">
        <v>36</v>
      </c>
      <c r="B15" s="1" t="s">
        <v>37</v>
      </c>
      <c r="C15" s="1" t="s">
        <v>32</v>
      </c>
      <c r="D15" s="1" t="s">
        <v>38</v>
      </c>
      <c r="E15" s="2">
        <v>650</v>
      </c>
      <c r="F15" s="2">
        <v>60</v>
      </c>
      <c r="G15" s="2">
        <v>30</v>
      </c>
      <c r="H15" s="3" t="str">
        <f t="shared" si="0"/>
        <v>In Stock</v>
      </c>
      <c r="I15" s="3" t="str">
        <f t="shared" si="1"/>
        <v>Available</v>
      </c>
      <c r="J15" s="3">
        <f t="shared" si="2"/>
        <v>39000</v>
      </c>
      <c r="K15" s="1" t="s">
        <v>32</v>
      </c>
      <c r="N15" s="1" t="s">
        <v>49</v>
      </c>
      <c r="O15" s="1" t="s">
        <v>50</v>
      </c>
      <c r="P15" s="3">
        <f t="shared" si="3"/>
        <v>9000</v>
      </c>
    </row>
    <row r="16" spans="1:37" x14ac:dyDescent="0.3">
      <c r="A16" s="1" t="s">
        <v>55</v>
      </c>
      <c r="B16" s="1" t="s">
        <v>56</v>
      </c>
      <c r="C16" s="1" t="s">
        <v>53</v>
      </c>
      <c r="D16" s="1" t="s">
        <v>57</v>
      </c>
      <c r="E16" s="2">
        <v>1800</v>
      </c>
      <c r="F16" s="2">
        <v>25</v>
      </c>
      <c r="G16" s="2">
        <v>15</v>
      </c>
      <c r="H16" s="3" t="str">
        <f t="shared" si="0"/>
        <v>In Stock</v>
      </c>
      <c r="I16" s="3" t="str">
        <f t="shared" si="1"/>
        <v>Available</v>
      </c>
      <c r="J16" s="3">
        <f t="shared" si="2"/>
        <v>45000</v>
      </c>
      <c r="K16" s="1" t="s">
        <v>53</v>
      </c>
      <c r="N16" s="1" t="s">
        <v>51</v>
      </c>
      <c r="O16" s="1" t="s">
        <v>52</v>
      </c>
      <c r="P16" s="3">
        <f t="shared" si="3"/>
        <v>6000</v>
      </c>
    </row>
    <row r="17" spans="1:21" ht="28.8" x14ac:dyDescent="0.3">
      <c r="A17" s="1" t="s">
        <v>20</v>
      </c>
      <c r="B17" s="1" t="s">
        <v>21</v>
      </c>
      <c r="C17" s="1" t="s">
        <v>9</v>
      </c>
      <c r="D17" s="1" t="s">
        <v>22</v>
      </c>
      <c r="E17" s="2">
        <v>15000</v>
      </c>
      <c r="F17" s="2">
        <v>5</v>
      </c>
      <c r="G17" s="2">
        <v>8</v>
      </c>
      <c r="H17" s="3" t="str">
        <f t="shared" si="0"/>
        <v>Low Stock</v>
      </c>
      <c r="I17" s="3" t="str">
        <f t="shared" si="1"/>
        <v>Order Now</v>
      </c>
      <c r="J17" s="3">
        <f t="shared" si="2"/>
        <v>75000</v>
      </c>
      <c r="K17" s="1" t="s">
        <v>9</v>
      </c>
      <c r="N17" s="1" t="s">
        <v>55</v>
      </c>
      <c r="O17" s="1" t="s">
        <v>56</v>
      </c>
      <c r="P17" s="3">
        <f t="shared" si="3"/>
        <v>1800</v>
      </c>
    </row>
    <row r="18" spans="1:21" ht="28.8" x14ac:dyDescent="0.4">
      <c r="A18" s="1" t="s">
        <v>45</v>
      </c>
      <c r="B18" s="1" t="s">
        <v>46</v>
      </c>
      <c r="C18" s="1" t="s">
        <v>47</v>
      </c>
      <c r="D18" s="1" t="s">
        <v>48</v>
      </c>
      <c r="E18" s="2">
        <v>35000</v>
      </c>
      <c r="F18" s="2">
        <v>4</v>
      </c>
      <c r="G18" s="2">
        <v>5</v>
      </c>
      <c r="H18" s="3" t="str">
        <f t="shared" si="0"/>
        <v>Low Stock</v>
      </c>
      <c r="I18" s="3" t="str">
        <f t="shared" si="1"/>
        <v>Order Now</v>
      </c>
      <c r="J18" s="3">
        <f t="shared" si="2"/>
        <v>140000</v>
      </c>
      <c r="K18" s="1" t="s">
        <v>47</v>
      </c>
      <c r="N18" s="1" t="s">
        <v>58</v>
      </c>
      <c r="O18" s="1" t="s">
        <v>59</v>
      </c>
      <c r="P18" s="3">
        <f t="shared" si="3"/>
        <v>700</v>
      </c>
      <c r="S18" s="10" t="s">
        <v>99</v>
      </c>
      <c r="T18" s="10"/>
      <c r="U18" s="10"/>
    </row>
    <row r="19" spans="1:21" ht="28.8" x14ac:dyDescent="0.3">
      <c r="A19" s="1" t="s">
        <v>23</v>
      </c>
      <c r="B19" s="1" t="s">
        <v>24</v>
      </c>
      <c r="C19" s="1" t="s">
        <v>25</v>
      </c>
      <c r="D19" s="1" t="s">
        <v>26</v>
      </c>
      <c r="E19" s="2">
        <v>2500</v>
      </c>
      <c r="F19" s="2">
        <v>14</v>
      </c>
      <c r="G19" s="2">
        <v>10</v>
      </c>
      <c r="H19" s="3" t="str">
        <f t="shared" si="0"/>
        <v>In Stock</v>
      </c>
      <c r="I19" s="3" t="str">
        <f t="shared" si="1"/>
        <v>Available</v>
      </c>
      <c r="J19" s="3">
        <f t="shared" si="2"/>
        <v>35000</v>
      </c>
      <c r="K19" s="1" t="s">
        <v>25</v>
      </c>
      <c r="N19" s="1" t="s">
        <v>61</v>
      </c>
      <c r="O19" s="1" t="s">
        <v>62</v>
      </c>
      <c r="P19" s="3">
        <f t="shared" si="3"/>
        <v>450</v>
      </c>
    </row>
    <row r="20" spans="1:21" ht="28.8" x14ac:dyDescent="0.3">
      <c r="A20" s="1" t="s">
        <v>49</v>
      </c>
      <c r="B20" s="1" t="s">
        <v>50</v>
      </c>
      <c r="C20" s="1" t="s">
        <v>47</v>
      </c>
      <c r="D20" s="1" t="s">
        <v>22</v>
      </c>
      <c r="E20" s="2">
        <v>9000</v>
      </c>
      <c r="F20" s="2">
        <v>8</v>
      </c>
      <c r="G20" s="2">
        <v>8</v>
      </c>
      <c r="H20" s="3" t="str">
        <f t="shared" si="0"/>
        <v>In Stock</v>
      </c>
      <c r="I20" s="3" t="str">
        <f t="shared" si="1"/>
        <v>Available</v>
      </c>
      <c r="J20" s="3">
        <f t="shared" si="2"/>
        <v>72000</v>
      </c>
      <c r="K20" s="1" t="s">
        <v>47</v>
      </c>
      <c r="N20" s="1" t="s">
        <v>64</v>
      </c>
      <c r="O20" s="1" t="s">
        <v>65</v>
      </c>
      <c r="P20" s="3">
        <f t="shared" si="3"/>
        <v>7500</v>
      </c>
    </row>
    <row r="21" spans="1:21" ht="28.8" x14ac:dyDescent="0.3">
      <c r="A21" s="1" t="s">
        <v>34</v>
      </c>
      <c r="B21" s="1" t="s">
        <v>35</v>
      </c>
      <c r="C21" s="1" t="s">
        <v>32</v>
      </c>
      <c r="D21" s="1" t="s">
        <v>19</v>
      </c>
      <c r="E21" s="2">
        <v>7000</v>
      </c>
      <c r="F21" s="2">
        <v>15</v>
      </c>
      <c r="G21" s="2">
        <v>10</v>
      </c>
      <c r="H21" s="3" t="str">
        <f t="shared" si="0"/>
        <v>In Stock</v>
      </c>
      <c r="I21" s="3" t="str">
        <f t="shared" si="1"/>
        <v>Available</v>
      </c>
      <c r="J21" s="3">
        <f t="shared" si="2"/>
        <v>105000</v>
      </c>
      <c r="K21" s="1" t="s">
        <v>32</v>
      </c>
      <c r="N21" s="1" t="s">
        <v>68</v>
      </c>
      <c r="O21" s="1" t="s">
        <v>69</v>
      </c>
      <c r="P21" s="3">
        <f t="shared" si="3"/>
        <v>12000</v>
      </c>
    </row>
    <row r="22" spans="1:21" ht="28.8" x14ac:dyDescent="0.3">
      <c r="A22" s="1" t="s">
        <v>81</v>
      </c>
      <c r="B22" s="1" t="s">
        <v>82</v>
      </c>
      <c r="C22" s="1" t="s">
        <v>76</v>
      </c>
      <c r="D22" s="1" t="s">
        <v>83</v>
      </c>
      <c r="E22" s="2">
        <v>300</v>
      </c>
      <c r="F22" s="2">
        <v>18</v>
      </c>
      <c r="G22" s="2">
        <v>15</v>
      </c>
      <c r="H22" s="3" t="str">
        <f t="shared" si="0"/>
        <v>In Stock</v>
      </c>
      <c r="I22" s="3" t="str">
        <f t="shared" si="1"/>
        <v>Available</v>
      </c>
      <c r="J22" s="3">
        <f t="shared" si="2"/>
        <v>5400</v>
      </c>
      <c r="K22" s="1" t="s">
        <v>76</v>
      </c>
      <c r="N22" s="1" t="s">
        <v>71</v>
      </c>
      <c r="O22" s="1" t="s">
        <v>72</v>
      </c>
      <c r="P22" s="3">
        <f t="shared" si="3"/>
        <v>3500</v>
      </c>
    </row>
    <row r="23" spans="1:21" ht="28.8" x14ac:dyDescent="0.3">
      <c r="A23" s="1" t="s">
        <v>27</v>
      </c>
      <c r="B23" s="1" t="s">
        <v>28</v>
      </c>
      <c r="C23" s="1" t="s">
        <v>25</v>
      </c>
      <c r="D23" s="1" t="s">
        <v>29</v>
      </c>
      <c r="E23" s="2">
        <v>8500</v>
      </c>
      <c r="F23" s="2">
        <v>6</v>
      </c>
      <c r="G23" s="2">
        <v>8</v>
      </c>
      <c r="H23" s="3" t="str">
        <f t="shared" si="0"/>
        <v>Low Stock</v>
      </c>
      <c r="I23" s="3" t="str">
        <f t="shared" si="1"/>
        <v>Order Now</v>
      </c>
      <c r="J23" s="3">
        <f t="shared" si="2"/>
        <v>51000</v>
      </c>
      <c r="K23" s="1" t="s">
        <v>25</v>
      </c>
      <c r="N23" s="1" t="s">
        <v>74</v>
      </c>
      <c r="O23" s="1" t="s">
        <v>75</v>
      </c>
      <c r="P23" s="3">
        <f t="shared" si="3"/>
        <v>250</v>
      </c>
    </row>
    <row r="24" spans="1:21" x14ac:dyDescent="0.3">
      <c r="A24" s="1" t="s">
        <v>51</v>
      </c>
      <c r="B24" s="1" t="s">
        <v>52</v>
      </c>
      <c r="C24" s="1" t="s">
        <v>53</v>
      </c>
      <c r="D24" s="1" t="s">
        <v>54</v>
      </c>
      <c r="E24" s="2">
        <v>6000</v>
      </c>
      <c r="F24" s="2">
        <v>13</v>
      </c>
      <c r="G24" s="2">
        <v>10</v>
      </c>
      <c r="H24" s="3" t="str">
        <f t="shared" si="0"/>
        <v>In Stock</v>
      </c>
      <c r="I24" s="3" t="str">
        <f t="shared" si="1"/>
        <v>Available</v>
      </c>
      <c r="J24" s="3">
        <f t="shared" si="2"/>
        <v>78000</v>
      </c>
      <c r="K24" s="1" t="s">
        <v>53</v>
      </c>
      <c r="N24" s="1" t="s">
        <v>78</v>
      </c>
      <c r="O24" s="1" t="s">
        <v>79</v>
      </c>
      <c r="P24" s="3">
        <f t="shared" si="3"/>
        <v>350</v>
      </c>
    </row>
    <row r="25" spans="1:21" x14ac:dyDescent="0.3">
      <c r="A25" s="1" t="s">
        <v>39</v>
      </c>
      <c r="B25" s="1" t="s">
        <v>40</v>
      </c>
      <c r="C25" s="1" t="s">
        <v>41</v>
      </c>
      <c r="D25" s="1" t="s">
        <v>13</v>
      </c>
      <c r="E25" s="2">
        <v>2200</v>
      </c>
      <c r="F25" s="2">
        <v>10</v>
      </c>
      <c r="G25" s="2">
        <v>8</v>
      </c>
      <c r="H25" s="3" t="str">
        <f t="shared" si="0"/>
        <v>In Stock</v>
      </c>
      <c r="I25" s="3" t="str">
        <f t="shared" si="1"/>
        <v>Available</v>
      </c>
      <c r="J25" s="3">
        <f t="shared" si="2"/>
        <v>22000</v>
      </c>
      <c r="K25" s="1" t="s">
        <v>41</v>
      </c>
      <c r="N25" s="1" t="s">
        <v>81</v>
      </c>
      <c r="O25" s="1" t="s">
        <v>82</v>
      </c>
      <c r="P25" s="3">
        <f t="shared" si="3"/>
        <v>300</v>
      </c>
    </row>
    <row r="26" spans="1:21" ht="28.8" x14ac:dyDescent="0.3">
      <c r="A26" s="1" t="s">
        <v>71</v>
      </c>
      <c r="B26" s="1" t="s">
        <v>72</v>
      </c>
      <c r="C26" s="1" t="s">
        <v>47</v>
      </c>
      <c r="D26" s="1" t="s">
        <v>73</v>
      </c>
      <c r="E26" s="2">
        <v>3500</v>
      </c>
      <c r="F26" s="2">
        <v>8</v>
      </c>
      <c r="G26" s="2">
        <v>5</v>
      </c>
      <c r="H26" s="3" t="str">
        <f t="shared" si="0"/>
        <v>In Stock</v>
      </c>
      <c r="I26" s="3" t="str">
        <f t="shared" si="1"/>
        <v>Available</v>
      </c>
      <c r="J26" s="3">
        <f t="shared" si="2"/>
        <v>28000</v>
      </c>
      <c r="K26" s="1" t="s">
        <v>47</v>
      </c>
      <c r="N26" s="1" t="s">
        <v>84</v>
      </c>
      <c r="O26" s="1" t="s">
        <v>85</v>
      </c>
      <c r="P26" s="3">
        <f t="shared" si="3"/>
        <v>900</v>
      </c>
    </row>
    <row r="27" spans="1:21" x14ac:dyDescent="0.3">
      <c r="P27" s="3"/>
    </row>
  </sheetData>
  <autoFilter ref="B1:B26" xr:uid="{8E9CEB23-C6F5-413A-AAD3-E3F030320F4A}"/>
  <sortState xmlns:xlrd2="http://schemas.microsoft.com/office/spreadsheetml/2017/richdata2" ref="A2:J26">
    <sortCondition ref="B2:B26"/>
  </sortState>
  <mergeCells count="8">
    <mergeCell ref="S18:U18"/>
    <mergeCell ref="S3:T3"/>
    <mergeCell ref="AG4:AH4"/>
    <mergeCell ref="AE4:AF4"/>
    <mergeCell ref="AE1:AK2"/>
    <mergeCell ref="AE3:AF3"/>
    <mergeCell ref="AG3:AI3"/>
    <mergeCell ref="AJ3:AK3"/>
  </mergeCells>
  <conditionalFormatting sqref="F1">
    <cfRule type="expression" dxfId="3" priority="5">
      <formula>$F$2:$F$26 &lt;$G$2:$G$26</formula>
    </cfRule>
  </conditionalFormatting>
  <conditionalFormatting sqref="F2:F26">
    <cfRule type="expression" dxfId="2" priority="1">
      <formula>F2&gt;$G2</formula>
    </cfRule>
    <cfRule type="expression" dxfId="1" priority="2">
      <formula>F2=$G2</formula>
    </cfRule>
    <cfRule type="expression" dxfId="0" priority="3">
      <formula>F2&lt;$G2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06CD5-B867-4690-9374-1C145127BA03}">
  <dimension ref="A3:E12"/>
  <sheetViews>
    <sheetView tabSelected="1" topLeftCell="A6" workbookViewId="0">
      <selection activeCell="I28" sqref="I28"/>
    </sheetView>
  </sheetViews>
  <sheetFormatPr defaultRowHeight="14.4" x14ac:dyDescent="0.3"/>
  <cols>
    <col min="1" max="1" width="12.5546875" bestFit="1" customWidth="1"/>
    <col min="2" max="2" width="21.109375" bestFit="1" customWidth="1"/>
    <col min="3" max="3" width="9.44140625" bestFit="1" customWidth="1"/>
    <col min="4" max="4" width="13.44140625" bestFit="1" customWidth="1"/>
    <col min="5" max="5" width="11.88671875" bestFit="1" customWidth="1"/>
    <col min="6" max="6" width="10.88671875" bestFit="1" customWidth="1"/>
    <col min="7" max="7" width="7.77734375" bestFit="1" customWidth="1"/>
    <col min="8" max="8" width="9.109375" bestFit="1" customWidth="1"/>
    <col min="9" max="9" width="6.88671875" bestFit="1" customWidth="1"/>
    <col min="10" max="10" width="11.5546875" bestFit="1" customWidth="1"/>
    <col min="11" max="11" width="7.88671875" bestFit="1" customWidth="1"/>
    <col min="12" max="12" width="6.77734375" bestFit="1" customWidth="1"/>
    <col min="13" max="13" width="10.77734375" bestFit="1" customWidth="1"/>
    <col min="14" max="14" width="10.44140625" bestFit="1" customWidth="1"/>
    <col min="15" max="15" width="13.33203125" bestFit="1" customWidth="1"/>
    <col min="16" max="16" width="11" bestFit="1" customWidth="1"/>
    <col min="17" max="17" width="6.6640625" bestFit="1" customWidth="1"/>
    <col min="18" max="18" width="8.77734375" bestFit="1" customWidth="1"/>
    <col min="19" max="19" width="6.6640625" bestFit="1" customWidth="1"/>
    <col min="20" max="21" width="7.77734375" bestFit="1" customWidth="1"/>
    <col min="22" max="22" width="6.88671875" bestFit="1" customWidth="1"/>
    <col min="23" max="23" width="6.5546875" bestFit="1" customWidth="1"/>
    <col min="24" max="24" width="4.44140625" bestFit="1" customWidth="1"/>
    <col min="25" max="25" width="8.44140625" bestFit="1" customWidth="1"/>
    <col min="26" max="26" width="11" bestFit="1" customWidth="1"/>
    <col min="27" max="27" width="10.77734375" bestFit="1" customWidth="1"/>
  </cols>
  <sheetData>
    <row r="3" spans="1:5" x14ac:dyDescent="0.3">
      <c r="A3" s="6" t="s">
        <v>91</v>
      </c>
      <c r="B3" t="s">
        <v>90</v>
      </c>
    </row>
    <row r="4" spans="1:5" x14ac:dyDescent="0.3">
      <c r="A4" s="7" t="s">
        <v>41</v>
      </c>
      <c r="B4">
        <v>3</v>
      </c>
    </row>
    <row r="5" spans="1:5" x14ac:dyDescent="0.3">
      <c r="A5" s="7" t="s">
        <v>9</v>
      </c>
      <c r="B5">
        <v>5</v>
      </c>
    </row>
    <row r="6" spans="1:5" x14ac:dyDescent="0.3">
      <c r="A6" s="7" t="s">
        <v>66</v>
      </c>
      <c r="B6">
        <v>2</v>
      </c>
    </row>
    <row r="7" spans="1:5" ht="21" x14ac:dyDescent="0.4">
      <c r="A7" s="7" t="s">
        <v>25</v>
      </c>
      <c r="B7">
        <v>3</v>
      </c>
      <c r="D7" s="10" t="s">
        <v>99</v>
      </c>
      <c r="E7" s="10"/>
    </row>
    <row r="8" spans="1:5" x14ac:dyDescent="0.3">
      <c r="A8" s="7" t="s">
        <v>47</v>
      </c>
      <c r="B8">
        <v>4</v>
      </c>
    </row>
    <row r="9" spans="1:5" x14ac:dyDescent="0.3">
      <c r="A9" s="7" t="s">
        <v>53</v>
      </c>
      <c r="B9">
        <v>2</v>
      </c>
    </row>
    <row r="10" spans="1:5" x14ac:dyDescent="0.3">
      <c r="A10" s="7" t="s">
        <v>76</v>
      </c>
      <c r="B10">
        <v>3</v>
      </c>
    </row>
    <row r="11" spans="1:5" x14ac:dyDescent="0.3">
      <c r="A11" s="7" t="s">
        <v>32</v>
      </c>
      <c r="B11">
        <v>3</v>
      </c>
    </row>
    <row r="12" spans="1:5" x14ac:dyDescent="0.3">
      <c r="A12" s="7" t="s">
        <v>92</v>
      </c>
      <c r="B12">
        <v>25</v>
      </c>
    </row>
  </sheetData>
  <mergeCells count="1">
    <mergeCell ref="D7:E7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254D7-B71D-410D-9940-D0B0C7F2EC7F}">
  <dimension ref="A3:B12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0.5546875" bestFit="1" customWidth="1"/>
  </cols>
  <sheetData>
    <row r="3" spans="1:2" x14ac:dyDescent="0.3">
      <c r="A3" s="6" t="s">
        <v>91</v>
      </c>
      <c r="B3" t="s">
        <v>93</v>
      </c>
    </row>
    <row r="4" spans="1:2" x14ac:dyDescent="0.3">
      <c r="A4" s="7" t="s">
        <v>41</v>
      </c>
      <c r="B4">
        <v>62700</v>
      </c>
    </row>
    <row r="5" spans="1:2" x14ac:dyDescent="0.3">
      <c r="A5" s="7" t="s">
        <v>9</v>
      </c>
      <c r="B5">
        <v>892600</v>
      </c>
    </row>
    <row r="6" spans="1:2" x14ac:dyDescent="0.3">
      <c r="A6" s="7" t="s">
        <v>66</v>
      </c>
      <c r="B6">
        <v>75000</v>
      </c>
    </row>
    <row r="7" spans="1:2" x14ac:dyDescent="0.3">
      <c r="A7" s="7" t="s">
        <v>25</v>
      </c>
      <c r="B7">
        <v>104000</v>
      </c>
    </row>
    <row r="8" spans="1:2" x14ac:dyDescent="0.3">
      <c r="A8" s="7" t="s">
        <v>47</v>
      </c>
      <c r="B8">
        <v>254400</v>
      </c>
    </row>
    <row r="9" spans="1:2" x14ac:dyDescent="0.3">
      <c r="A9" s="7" t="s">
        <v>53</v>
      </c>
      <c r="B9">
        <v>123000</v>
      </c>
    </row>
    <row r="10" spans="1:2" x14ac:dyDescent="0.3">
      <c r="A10" s="7" t="s">
        <v>76</v>
      </c>
      <c r="B10">
        <v>58400</v>
      </c>
    </row>
    <row r="11" spans="1:2" x14ac:dyDescent="0.3">
      <c r="A11" s="7" t="s">
        <v>32</v>
      </c>
      <c r="B11">
        <v>234000</v>
      </c>
    </row>
    <row r="12" spans="1:2" x14ac:dyDescent="0.3">
      <c r="A12" s="7" t="s">
        <v>92</v>
      </c>
      <c r="B12">
        <v>1804100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8BDA8-6124-4A84-939D-B02A0CFF0EF4}">
  <dimension ref="A3:B26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6.109375" bestFit="1" customWidth="1"/>
    <col min="4" max="4" width="6.21875" bestFit="1" customWidth="1"/>
    <col min="5" max="5" width="6.77734375" bestFit="1" customWidth="1"/>
    <col min="6" max="6" width="6.44140625" bestFit="1" customWidth="1"/>
    <col min="7" max="7" width="5.44140625" bestFit="1" customWidth="1"/>
    <col min="8" max="8" width="5.33203125" bestFit="1" customWidth="1"/>
    <col min="9" max="9" width="4.109375" bestFit="1" customWidth="1"/>
    <col min="10" max="10" width="6.33203125" bestFit="1" customWidth="1"/>
    <col min="11" max="11" width="6.109375" bestFit="1" customWidth="1"/>
    <col min="12" max="12" width="6.6640625" bestFit="1" customWidth="1"/>
    <col min="13" max="13" width="3.33203125" bestFit="1" customWidth="1"/>
    <col min="14" max="14" width="4.88671875" bestFit="1" customWidth="1"/>
    <col min="15" max="15" width="3.6640625" bestFit="1" customWidth="1"/>
    <col min="16" max="16" width="8.109375" bestFit="1" customWidth="1"/>
    <col min="17" max="17" width="8" bestFit="1" customWidth="1"/>
    <col min="18" max="18" width="8.109375" bestFit="1" customWidth="1"/>
    <col min="19" max="19" width="3.21875" bestFit="1" customWidth="1"/>
    <col min="20" max="20" width="8.6640625" bestFit="1" customWidth="1"/>
    <col min="21" max="21" width="7.5546875" bestFit="1" customWidth="1"/>
    <col min="22" max="22" width="7.6640625" bestFit="1" customWidth="1"/>
    <col min="23" max="23" width="7.21875" bestFit="1" customWidth="1"/>
    <col min="24" max="24" width="10.77734375" bestFit="1" customWidth="1"/>
  </cols>
  <sheetData>
    <row r="3" spans="1:2" x14ac:dyDescent="0.3">
      <c r="A3" s="6" t="s">
        <v>91</v>
      </c>
      <c r="B3" t="s">
        <v>94</v>
      </c>
    </row>
    <row r="4" spans="1:2" x14ac:dyDescent="0.3">
      <c r="A4" s="7" t="s">
        <v>54</v>
      </c>
      <c r="B4">
        <v>13</v>
      </c>
    </row>
    <row r="5" spans="1:2" x14ac:dyDescent="0.3">
      <c r="A5" s="7" t="s">
        <v>60</v>
      </c>
      <c r="B5">
        <v>35</v>
      </c>
    </row>
    <row r="6" spans="1:2" x14ac:dyDescent="0.3">
      <c r="A6" s="7" t="s">
        <v>73</v>
      </c>
      <c r="B6">
        <v>8</v>
      </c>
    </row>
    <row r="7" spans="1:2" x14ac:dyDescent="0.3">
      <c r="A7" s="7" t="s">
        <v>77</v>
      </c>
      <c r="B7">
        <v>100</v>
      </c>
    </row>
    <row r="8" spans="1:2" x14ac:dyDescent="0.3">
      <c r="A8" s="7" t="s">
        <v>22</v>
      </c>
      <c r="B8">
        <v>13</v>
      </c>
    </row>
    <row r="9" spans="1:2" x14ac:dyDescent="0.3">
      <c r="A9" s="7" t="s">
        <v>86</v>
      </c>
      <c r="B9">
        <v>16</v>
      </c>
    </row>
    <row r="10" spans="1:2" x14ac:dyDescent="0.3">
      <c r="A10" s="7" t="s">
        <v>29</v>
      </c>
      <c r="B10">
        <v>6</v>
      </c>
    </row>
    <row r="11" spans="1:2" x14ac:dyDescent="0.3">
      <c r="A11" s="7" t="s">
        <v>10</v>
      </c>
      <c r="B11">
        <v>12</v>
      </c>
    </row>
    <row r="12" spans="1:2" x14ac:dyDescent="0.3">
      <c r="A12" s="7" t="s">
        <v>63</v>
      </c>
      <c r="B12">
        <v>40</v>
      </c>
    </row>
    <row r="13" spans="1:2" x14ac:dyDescent="0.3">
      <c r="A13" s="7" t="s">
        <v>48</v>
      </c>
      <c r="B13">
        <v>4</v>
      </c>
    </row>
    <row r="14" spans="1:2" x14ac:dyDescent="0.3">
      <c r="A14" s="7" t="s">
        <v>67</v>
      </c>
      <c r="B14">
        <v>10</v>
      </c>
    </row>
    <row r="15" spans="1:2" x14ac:dyDescent="0.3">
      <c r="A15" s="7" t="s">
        <v>16</v>
      </c>
      <c r="B15">
        <v>18</v>
      </c>
    </row>
    <row r="16" spans="1:2" x14ac:dyDescent="0.3">
      <c r="A16" s="7" t="s">
        <v>70</v>
      </c>
      <c r="B16">
        <v>0</v>
      </c>
    </row>
    <row r="17" spans="1:2" x14ac:dyDescent="0.3">
      <c r="A17" s="7" t="s">
        <v>44</v>
      </c>
      <c r="B17">
        <v>9</v>
      </c>
    </row>
    <row r="18" spans="1:2" x14ac:dyDescent="0.3">
      <c r="A18" s="7" t="s">
        <v>80</v>
      </c>
      <c r="B18">
        <v>80</v>
      </c>
    </row>
    <row r="19" spans="1:2" x14ac:dyDescent="0.3">
      <c r="A19" s="7" t="s">
        <v>83</v>
      </c>
      <c r="B19">
        <v>18</v>
      </c>
    </row>
    <row r="20" spans="1:2" x14ac:dyDescent="0.3">
      <c r="A20" s="7" t="s">
        <v>13</v>
      </c>
      <c r="B20">
        <v>60</v>
      </c>
    </row>
    <row r="21" spans="1:2" x14ac:dyDescent="0.3">
      <c r="A21" s="7" t="s">
        <v>57</v>
      </c>
      <c r="B21">
        <v>25</v>
      </c>
    </row>
    <row r="22" spans="1:2" x14ac:dyDescent="0.3">
      <c r="A22" s="7" t="s">
        <v>19</v>
      </c>
      <c r="B22">
        <v>23</v>
      </c>
    </row>
    <row r="23" spans="1:2" x14ac:dyDescent="0.3">
      <c r="A23" s="7" t="s">
        <v>38</v>
      </c>
      <c r="B23">
        <v>60</v>
      </c>
    </row>
    <row r="24" spans="1:2" x14ac:dyDescent="0.3">
      <c r="A24" s="7" t="s">
        <v>33</v>
      </c>
      <c r="B24">
        <v>20</v>
      </c>
    </row>
    <row r="25" spans="1:2" x14ac:dyDescent="0.3">
      <c r="A25" s="7" t="s">
        <v>26</v>
      </c>
      <c r="B25">
        <v>14</v>
      </c>
    </row>
    <row r="26" spans="1:2" x14ac:dyDescent="0.3">
      <c r="A26" s="7" t="s">
        <v>92</v>
      </c>
      <c r="B26">
        <v>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Day2</vt:lpstr>
      <vt:lpstr>Bar chart</vt:lpstr>
      <vt:lpstr>pivot-T10</vt:lpstr>
      <vt:lpstr>pivot--t10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ananthasetty sowjanya</dc:creator>
  <cp:lastModifiedBy>ananthasetty sowjanya</cp:lastModifiedBy>
  <dcterms:created xsi:type="dcterms:W3CDTF">2026-06-26T12:19:03Z</dcterms:created>
  <dcterms:modified xsi:type="dcterms:W3CDTF">2026-06-26T14:49:18Z</dcterms:modified>
</cp:coreProperties>
</file>