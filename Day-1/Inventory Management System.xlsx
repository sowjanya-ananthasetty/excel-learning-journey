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janya\Downloads\"/>
    </mc:Choice>
  </mc:AlternateContent>
  <xr:revisionPtr revIDLastSave="0" documentId="8_{D4C94ED8-4661-47FD-89FD-B114DCAE4A68}" xr6:coauthVersionLast="47" xr6:coauthVersionMax="47" xr10:uidLastSave="{00000000-0000-0000-0000-000000000000}"/>
  <bookViews>
    <workbookView xWindow="-108" yWindow="-108" windowWidth="23256" windowHeight="12456" activeTab="5" xr2:uid="{840A1206-9FDF-4AF1-847C-5D5506D054AF}"/>
  </bookViews>
  <sheets>
    <sheet name="Task-1" sheetId="2" r:id="rId1"/>
    <sheet name="Task-2&amp;3" sheetId="1" r:id="rId2"/>
    <sheet name="TASK-4" sheetId="3" r:id="rId3"/>
    <sheet name="Day1" sheetId="4" r:id="rId4"/>
    <sheet name="pivot1" sheetId="6" r:id="rId5"/>
    <sheet name="pivot2" sheetId="10" r:id="rId6"/>
    <sheet name="Task 7" sheetId="5" r:id="rId7"/>
  </sheets>
  <definedNames>
    <definedName name="_xlnm._FilterDatabase" localSheetId="3" hidden="1">'Day1'!$I$3:$I$28</definedName>
    <definedName name="_xlnm._FilterDatabase" localSheetId="6" hidden="1">'Task 7'!$A$2:$A$27</definedName>
    <definedName name="_xlnm._FilterDatabase" localSheetId="1" hidden="1">'Task-2&amp;3'!$A$4:$M$29</definedName>
    <definedName name="_xlnm._FilterDatabase" localSheetId="2" hidden="1">'TASK-4'!$G$4:$G$29</definedName>
  </definedNames>
  <calcPr calcId="191029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5" l="1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3" i="5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3" i="4"/>
  <c r="M37" i="3"/>
  <c r="M38" i="3"/>
  <c r="M39" i="3"/>
  <c r="M40" i="3"/>
  <c r="M41" i="3"/>
  <c r="M42" i="3"/>
  <c r="M43" i="3"/>
  <c r="M44" i="3"/>
  <c r="M45" i="3"/>
  <c r="M46" i="3"/>
  <c r="M47" i="3"/>
  <c r="M36" i="3"/>
  <c r="M29" i="3"/>
  <c r="M28" i="3"/>
  <c r="M27" i="3"/>
  <c r="M26" i="3"/>
  <c r="M25" i="3"/>
  <c r="M24" i="3"/>
  <c r="M22" i="3"/>
  <c r="M21" i="3"/>
  <c r="M17" i="3"/>
  <c r="M15" i="3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5" i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4" i="4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5" i="1"/>
  <c r="L10" i="5"/>
  <c r="K10" i="5"/>
  <c r="J10" i="5"/>
  <c r="I10" i="5"/>
  <c r="L17" i="5"/>
  <c r="K17" i="5"/>
  <c r="J17" i="5"/>
  <c r="I17" i="5"/>
  <c r="L21" i="5"/>
  <c r="K21" i="5"/>
  <c r="J21" i="5"/>
  <c r="I21" i="5"/>
  <c r="L13" i="5"/>
  <c r="K13" i="5"/>
  <c r="J13" i="5"/>
  <c r="I13" i="5"/>
  <c r="L25" i="5"/>
  <c r="K25" i="5"/>
  <c r="J25" i="5"/>
  <c r="I25" i="5"/>
  <c r="L8" i="5"/>
  <c r="K8" i="5"/>
  <c r="J8" i="5"/>
  <c r="I8" i="5"/>
  <c r="L19" i="5"/>
  <c r="K19" i="5"/>
  <c r="J19" i="5"/>
  <c r="I19" i="5"/>
  <c r="L15" i="5"/>
  <c r="K15" i="5"/>
  <c r="J15" i="5"/>
  <c r="I15" i="5"/>
  <c r="L3" i="5"/>
  <c r="K3" i="5"/>
  <c r="J3" i="5"/>
  <c r="I3" i="5"/>
  <c r="L12" i="5"/>
  <c r="K12" i="5"/>
  <c r="J12" i="5"/>
  <c r="I12" i="5"/>
  <c r="L23" i="5"/>
  <c r="K23" i="5"/>
  <c r="J23" i="5"/>
  <c r="I23" i="5"/>
  <c r="L27" i="5"/>
  <c r="K27" i="5"/>
  <c r="J27" i="5"/>
  <c r="I27" i="5"/>
  <c r="L6" i="5"/>
  <c r="K6" i="5"/>
  <c r="J6" i="5"/>
  <c r="I6" i="5"/>
  <c r="L18" i="5"/>
  <c r="K18" i="5"/>
  <c r="J18" i="5"/>
  <c r="I18" i="5"/>
  <c r="M4" i="5"/>
  <c r="L4" i="5"/>
  <c r="K4" i="5"/>
  <c r="J4" i="5"/>
  <c r="I4" i="5"/>
  <c r="L9" i="5"/>
  <c r="K9" i="5"/>
  <c r="J9" i="5"/>
  <c r="I9" i="5"/>
  <c r="L14" i="5"/>
  <c r="K14" i="5"/>
  <c r="J14" i="5"/>
  <c r="I14" i="5"/>
  <c r="L24" i="5"/>
  <c r="K24" i="5"/>
  <c r="J24" i="5"/>
  <c r="I24" i="5"/>
  <c r="L5" i="5"/>
  <c r="K5" i="5"/>
  <c r="J5" i="5"/>
  <c r="I5" i="5"/>
  <c r="L22" i="5"/>
  <c r="K22" i="5"/>
  <c r="J22" i="5"/>
  <c r="I22" i="5"/>
  <c r="L7" i="5"/>
  <c r="K7" i="5"/>
  <c r="J7" i="5"/>
  <c r="I7" i="5"/>
  <c r="L26" i="5"/>
  <c r="K26" i="5"/>
  <c r="J26" i="5"/>
  <c r="I26" i="5"/>
  <c r="L11" i="5"/>
  <c r="K11" i="5"/>
  <c r="J11" i="5"/>
  <c r="I11" i="5"/>
  <c r="L16" i="5"/>
  <c r="K16" i="5"/>
  <c r="J16" i="5"/>
  <c r="I16" i="5"/>
  <c r="L20" i="5"/>
  <c r="K20" i="5"/>
  <c r="J20" i="5"/>
  <c r="I20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4" i="4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M23" i="3"/>
  <c r="L23" i="3"/>
  <c r="K23" i="3"/>
  <c r="J23" i="3"/>
  <c r="I23" i="3"/>
  <c r="L22" i="3"/>
  <c r="K22" i="3"/>
  <c r="J22" i="3"/>
  <c r="I22" i="3"/>
  <c r="L21" i="3"/>
  <c r="K21" i="3"/>
  <c r="J21" i="3"/>
  <c r="I21" i="3"/>
  <c r="M20" i="3"/>
  <c r="L20" i="3"/>
  <c r="K20" i="3"/>
  <c r="J20" i="3"/>
  <c r="I20" i="3"/>
  <c r="M19" i="3"/>
  <c r="L19" i="3"/>
  <c r="K19" i="3"/>
  <c r="J19" i="3"/>
  <c r="I19" i="3"/>
  <c r="M18" i="3"/>
  <c r="L18" i="3"/>
  <c r="K18" i="3"/>
  <c r="J18" i="3"/>
  <c r="I18" i="3"/>
  <c r="L17" i="3"/>
  <c r="K17" i="3"/>
  <c r="J17" i="3"/>
  <c r="I17" i="3"/>
  <c r="M16" i="3"/>
  <c r="L16" i="3"/>
  <c r="K16" i="3"/>
  <c r="J16" i="3"/>
  <c r="I16" i="3"/>
  <c r="L15" i="3"/>
  <c r="K15" i="3"/>
  <c r="J15" i="3"/>
  <c r="I15" i="3"/>
  <c r="M14" i="3"/>
  <c r="L14" i="3"/>
  <c r="K14" i="3"/>
  <c r="J14" i="3"/>
  <c r="I14" i="3"/>
  <c r="M13" i="3"/>
  <c r="L13" i="3"/>
  <c r="K13" i="3"/>
  <c r="J13" i="3"/>
  <c r="I13" i="3"/>
  <c r="M12" i="3"/>
  <c r="L12" i="3"/>
  <c r="K12" i="3"/>
  <c r="J12" i="3"/>
  <c r="I12" i="3"/>
  <c r="M11" i="3"/>
  <c r="L11" i="3"/>
  <c r="K11" i="3"/>
  <c r="J11" i="3"/>
  <c r="I11" i="3"/>
  <c r="M10" i="3"/>
  <c r="L10" i="3"/>
  <c r="K10" i="3"/>
  <c r="J10" i="3"/>
  <c r="I10" i="3"/>
  <c r="M9" i="3"/>
  <c r="L9" i="3"/>
  <c r="K9" i="3"/>
  <c r="J9" i="3"/>
  <c r="I9" i="3"/>
  <c r="M8" i="3"/>
  <c r="L8" i="3"/>
  <c r="K8" i="3"/>
  <c r="J8" i="3"/>
  <c r="I8" i="3"/>
  <c r="M7" i="3"/>
  <c r="L7" i="3"/>
  <c r="K7" i="3"/>
  <c r="J7" i="3"/>
  <c r="I7" i="3"/>
  <c r="M6" i="3"/>
  <c r="L6" i="3"/>
  <c r="K6" i="3"/>
  <c r="J6" i="3"/>
  <c r="I6" i="3"/>
  <c r="M5" i="3"/>
  <c r="L5" i="3"/>
  <c r="K5" i="3"/>
  <c r="J5" i="3"/>
  <c r="I5" i="3"/>
  <c r="L15" i="1"/>
  <c r="L11" i="1"/>
  <c r="L17" i="1"/>
  <c r="L9" i="1"/>
  <c r="L24" i="1"/>
  <c r="L14" i="1"/>
  <c r="L29" i="1"/>
  <c r="L7" i="1"/>
  <c r="L20" i="1"/>
  <c r="L26" i="1"/>
  <c r="L13" i="1"/>
  <c r="L22" i="1"/>
  <c r="L6" i="1"/>
  <c r="L28" i="1"/>
  <c r="L16" i="1"/>
  <c r="L23" i="1"/>
  <c r="L5" i="1"/>
  <c r="L27" i="1"/>
  <c r="L10" i="1"/>
  <c r="L19" i="1"/>
  <c r="L12" i="1"/>
  <c r="L25" i="1"/>
  <c r="L8" i="1"/>
  <c r="L18" i="1"/>
  <c r="L21" i="1"/>
  <c r="K15" i="1"/>
  <c r="K11" i="1"/>
  <c r="K17" i="1"/>
  <c r="K9" i="1"/>
  <c r="K24" i="1"/>
  <c r="K14" i="1"/>
  <c r="K29" i="1"/>
  <c r="K7" i="1"/>
  <c r="K20" i="1"/>
  <c r="K26" i="1"/>
  <c r="K13" i="1"/>
  <c r="K22" i="1"/>
  <c r="K6" i="1"/>
  <c r="K28" i="1"/>
  <c r="K16" i="1"/>
  <c r="K23" i="1"/>
  <c r="K5" i="1"/>
  <c r="K27" i="1"/>
  <c r="K10" i="1"/>
  <c r="K19" i="1"/>
  <c r="K12" i="1"/>
  <c r="K25" i="1"/>
  <c r="K8" i="1"/>
  <c r="K18" i="1"/>
  <c r="K21" i="1"/>
  <c r="J15" i="1"/>
  <c r="J11" i="1"/>
  <c r="J17" i="1"/>
  <c r="J9" i="1"/>
  <c r="J24" i="1"/>
  <c r="J14" i="1"/>
  <c r="J29" i="1"/>
  <c r="J7" i="1"/>
  <c r="J20" i="1"/>
  <c r="J26" i="1"/>
  <c r="J13" i="1"/>
  <c r="J22" i="1"/>
  <c r="J6" i="1"/>
  <c r="J28" i="1"/>
  <c r="J16" i="1"/>
  <c r="J23" i="1"/>
  <c r="J5" i="1"/>
  <c r="J27" i="1"/>
  <c r="J10" i="1"/>
  <c r="J19" i="1"/>
  <c r="J12" i="1"/>
  <c r="J25" i="1"/>
  <c r="J8" i="1"/>
  <c r="J18" i="1"/>
  <c r="J21" i="1"/>
  <c r="I15" i="1"/>
  <c r="I11" i="1"/>
  <c r="I17" i="1"/>
  <c r="I9" i="1"/>
  <c r="I24" i="1"/>
  <c r="I14" i="1"/>
  <c r="I29" i="1"/>
  <c r="I7" i="1"/>
  <c r="I20" i="1"/>
  <c r="I26" i="1"/>
  <c r="I13" i="1"/>
  <c r="I22" i="1"/>
  <c r="I6" i="1"/>
  <c r="I28" i="1"/>
  <c r="I16" i="1"/>
  <c r="I23" i="1"/>
  <c r="I5" i="1"/>
  <c r="I27" i="1"/>
  <c r="I10" i="1"/>
  <c r="I19" i="1"/>
  <c r="I12" i="1"/>
  <c r="I25" i="1"/>
  <c r="I8" i="1"/>
  <c r="I18" i="1"/>
  <c r="I21" i="1"/>
  <c r="J5" i="4" l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4" i="4"/>
</calcChain>
</file>

<file path=xl/sharedStrings.xml><?xml version="1.0" encoding="utf-8"?>
<sst xmlns="http://schemas.openxmlformats.org/spreadsheetml/2006/main" count="392" uniqueCount="65">
  <si>
    <t>S.NO</t>
  </si>
  <si>
    <t>First Name</t>
  </si>
  <si>
    <t>Last Name</t>
  </si>
  <si>
    <t>DOB</t>
  </si>
  <si>
    <t>Telugu</t>
  </si>
  <si>
    <t>Hindi</t>
  </si>
  <si>
    <t>Science</t>
  </si>
  <si>
    <t>English</t>
  </si>
  <si>
    <t>Mahesh</t>
  </si>
  <si>
    <t>Kumar</t>
  </si>
  <si>
    <t>Sowjanya</t>
  </si>
  <si>
    <t>Reddy</t>
  </si>
  <si>
    <t>Sai</t>
  </si>
  <si>
    <t>Krishna</t>
  </si>
  <si>
    <t>Naidu</t>
  </si>
  <si>
    <t>Dhana</t>
  </si>
  <si>
    <t>Rahul</t>
  </si>
  <si>
    <t>Priya</t>
  </si>
  <si>
    <t>Sharma</t>
  </si>
  <si>
    <t>Kiran</t>
  </si>
  <si>
    <t>Anjali</t>
  </si>
  <si>
    <t>Devi</t>
  </si>
  <si>
    <t>Arjun</t>
  </si>
  <si>
    <t>Rao</t>
  </si>
  <si>
    <t>Nikhil</t>
  </si>
  <si>
    <t>Varma</t>
  </si>
  <si>
    <t>Sneha</t>
  </si>
  <si>
    <t>Patel</t>
  </si>
  <si>
    <t>Rohit</t>
  </si>
  <si>
    <t>Singh</t>
  </si>
  <si>
    <t>Deepika</t>
  </si>
  <si>
    <t>Rani</t>
  </si>
  <si>
    <t>Harsha</t>
  </si>
  <si>
    <t>Pooja</t>
  </si>
  <si>
    <t>Verma</t>
  </si>
  <si>
    <t>Vivek</t>
  </si>
  <si>
    <t>Kavya</t>
  </si>
  <si>
    <t>Nair</t>
  </si>
  <si>
    <t>Ajay</t>
  </si>
  <si>
    <t>Divya</t>
  </si>
  <si>
    <t>Manoj</t>
  </si>
  <si>
    <t>Swathi</t>
  </si>
  <si>
    <t>Akash</t>
  </si>
  <si>
    <t>Bhavana</t>
  </si>
  <si>
    <t>Teja</t>
  </si>
  <si>
    <t>STUDENT RECORDS</t>
  </si>
  <si>
    <t>Total Marks</t>
  </si>
  <si>
    <t>Average Marks</t>
  </si>
  <si>
    <t>Max Marks</t>
  </si>
  <si>
    <t>Min Marks</t>
  </si>
  <si>
    <t>Full Name</t>
  </si>
  <si>
    <t>Sana</t>
  </si>
  <si>
    <t>STUDENT RECORD</t>
  </si>
  <si>
    <t>Task 4: Filter the Data</t>
  </si>
  <si>
    <t>Task 2 &amp;3 Perform Calculations &amp; Sort the Data</t>
  </si>
  <si>
    <t>Column Chart</t>
  </si>
  <si>
    <t>Pie Chart</t>
  </si>
  <si>
    <t>TASK-6</t>
  </si>
  <si>
    <t>TASK-5</t>
  </si>
  <si>
    <t>Sum of Average Marks</t>
  </si>
  <si>
    <t>Row Labels</t>
  </si>
  <si>
    <t>Grand Total</t>
  </si>
  <si>
    <t>Sum of Total Marks</t>
  </si>
  <si>
    <t>If Function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</si>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</sst>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F800]dddd\,\ mmmm\ dd\,\ yyyy"/>
    <numFmt numFmtId="170" formatCode="[$-14009]dd\ mmmm\ 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Algerian"/>
      <family val="5"/>
    </font>
    <font>
      <sz val="11"/>
      <color theme="1"/>
      <name val="Arial Black"/>
      <family val="2"/>
    </font>
    <font>
      <sz val="20"/>
      <color theme="1"/>
      <name val="Algerian"/>
      <family val="5"/>
    </font>
    <font>
      <b/>
      <sz val="15"/>
      <color theme="1"/>
      <name val="Arial Black"/>
      <family val="2"/>
    </font>
    <font>
      <sz val="13"/>
      <color theme="1"/>
      <name val="Arial Black"/>
      <family val="2"/>
    </font>
    <font>
      <b/>
      <sz val="11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8" fontId="1" fillId="2" borderId="1" xfId="0" applyNumberFormat="1" applyFont="1" applyFill="1" applyBorder="1" applyAlignment="1">
      <alignment horizontal="center" wrapText="1"/>
    </xf>
    <xf numFmtId="168" fontId="0" fillId="0" borderId="1" xfId="0" applyNumberFormat="1" applyBorder="1" applyAlignment="1">
      <alignment horizontal="center"/>
    </xf>
    <xf numFmtId="168" fontId="0" fillId="0" borderId="0" xfId="0" applyNumberFormat="1"/>
    <xf numFmtId="170" fontId="1" fillId="2" borderId="1" xfId="0" applyNumberFormat="1" applyFont="1" applyFill="1" applyBorder="1" applyAlignment="1">
      <alignment horizontal="center" wrapText="1"/>
    </xf>
    <xf numFmtId="170" fontId="0" fillId="0" borderId="1" xfId="0" applyNumberFormat="1" applyBorder="1" applyAlignment="1">
      <alignment horizontal="center"/>
    </xf>
    <xf numFmtId="170" fontId="0" fillId="0" borderId="0" xfId="0" applyNumberFormat="1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/>
    <xf numFmtId="14" fontId="1" fillId="2" borderId="1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10" fillId="0" borderId="4" xfId="0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7" borderId="1" xfId="0" applyFill="1" applyBorder="1" applyAlignment="1">
      <alignment horizontal="center"/>
    </xf>
    <xf numFmtId="0" fontId="9" fillId="0" borderId="1" xfId="0" applyFont="1" applyBorder="1"/>
    <xf numFmtId="0" fontId="1" fillId="5" borderId="1" xfId="0" applyFont="1" applyFill="1" applyBorder="1" applyAlignment="1">
      <alignment horizontal="center" wrapText="1"/>
    </xf>
    <xf numFmtId="0" fontId="0" fillId="3" borderId="1" xfId="0" applyFill="1" applyBorder="1"/>
    <xf numFmtId="170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'Day1'!$O$2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'Day1'!$N$3:$N$27</c:f>
              <c:strCache>
                <c:ptCount val="25"/>
                <c:pt idx="0">
                  <c:v>Kavya Nair</c:v>
                </c:pt>
                <c:pt idx="1">
                  <c:v>Deepika Rani</c:v>
                </c:pt>
                <c:pt idx="2">
                  <c:v>Anjali Devi</c:v>
                </c:pt>
                <c:pt idx="3">
                  <c:v>Bhavana Sharma</c:v>
                </c:pt>
                <c:pt idx="4">
                  <c:v>Dhana Sai</c:v>
                </c:pt>
                <c:pt idx="5">
                  <c:v>Divya Rao</c:v>
                </c:pt>
                <c:pt idx="6">
                  <c:v>Sai Krishna</c:v>
                </c:pt>
                <c:pt idx="7">
                  <c:v>Swathi Reddy</c:v>
                </c:pt>
                <c:pt idx="8">
                  <c:v>Sneha Patel</c:v>
                </c:pt>
                <c:pt idx="9">
                  <c:v>Priya Sharma</c:v>
                </c:pt>
                <c:pt idx="10">
                  <c:v>Sowjanya Reddy</c:v>
                </c:pt>
                <c:pt idx="11">
                  <c:v>Pooja Verma</c:v>
                </c:pt>
                <c:pt idx="12">
                  <c:v>Sana Naidu</c:v>
                </c:pt>
                <c:pt idx="13">
                  <c:v>Teja Kumar</c:v>
                </c:pt>
                <c:pt idx="14">
                  <c:v>Manoj Singh</c:v>
                </c:pt>
                <c:pt idx="15">
                  <c:v>Arjun Rao</c:v>
                </c:pt>
                <c:pt idx="16">
                  <c:v>Mahesh Kumar</c:v>
                </c:pt>
                <c:pt idx="17">
                  <c:v>Rohit Singh</c:v>
                </c:pt>
                <c:pt idx="18">
                  <c:v>Vivek Reddy</c:v>
                </c:pt>
                <c:pt idx="19">
                  <c:v>Rahul Kumar</c:v>
                </c:pt>
                <c:pt idx="20">
                  <c:v>Akash Patel</c:v>
                </c:pt>
                <c:pt idx="21">
                  <c:v>Nikhil Varma</c:v>
                </c:pt>
                <c:pt idx="22">
                  <c:v>Ajay Kumar</c:v>
                </c:pt>
                <c:pt idx="23">
                  <c:v>Harsha Kumar</c:v>
                </c:pt>
                <c:pt idx="24">
                  <c:v>Kiran Reddy</c:v>
                </c:pt>
              </c:strCache>
            </c:strRef>
          </c:cat>
          <c:val>
            <c:numRef>
              <c:f>'Day1'!$O$3:$O$27</c:f>
              <c:numCache>
                <c:formatCode>General</c:formatCode>
                <c:ptCount val="25"/>
                <c:pt idx="0">
                  <c:v>386</c:v>
                </c:pt>
                <c:pt idx="1">
                  <c:v>382</c:v>
                </c:pt>
                <c:pt idx="2">
                  <c:v>376</c:v>
                </c:pt>
                <c:pt idx="3">
                  <c:v>374</c:v>
                </c:pt>
                <c:pt idx="4">
                  <c:v>302</c:v>
                </c:pt>
                <c:pt idx="5">
                  <c:v>362</c:v>
                </c:pt>
                <c:pt idx="6">
                  <c:v>234</c:v>
                </c:pt>
                <c:pt idx="7">
                  <c:v>305</c:v>
                </c:pt>
                <c:pt idx="8">
                  <c:v>358</c:v>
                </c:pt>
                <c:pt idx="9">
                  <c:v>351</c:v>
                </c:pt>
                <c:pt idx="10">
                  <c:v>349</c:v>
                </c:pt>
                <c:pt idx="11">
                  <c:v>283</c:v>
                </c:pt>
                <c:pt idx="12">
                  <c:v>332</c:v>
                </c:pt>
                <c:pt idx="13">
                  <c:v>229</c:v>
                </c:pt>
                <c:pt idx="14">
                  <c:v>330</c:v>
                </c:pt>
                <c:pt idx="15">
                  <c:v>328</c:v>
                </c:pt>
                <c:pt idx="16">
                  <c:v>328</c:v>
                </c:pt>
                <c:pt idx="17">
                  <c:v>281</c:v>
                </c:pt>
                <c:pt idx="18">
                  <c:v>271</c:v>
                </c:pt>
                <c:pt idx="19">
                  <c:v>315</c:v>
                </c:pt>
                <c:pt idx="20">
                  <c:v>206</c:v>
                </c:pt>
                <c:pt idx="21">
                  <c:v>322</c:v>
                </c:pt>
                <c:pt idx="22">
                  <c:v>213</c:v>
                </c:pt>
                <c:pt idx="23">
                  <c:v>284</c:v>
                </c:pt>
                <c:pt idx="2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5-4CA7-A91B-E38A7414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030560"/>
        <c:axId val="997014240"/>
      </c:barChart>
      <c:catAx>
        <c:axId val="9970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14240"/>
        <c:crosses val="autoZero"/>
        <c:auto val="1"/>
        <c:lblAlgn val="ctr"/>
        <c:lblOffset val="100"/>
        <c:noMultiLvlLbl val="0"/>
      </c:catAx>
      <c:valAx>
        <c:axId val="9970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3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'Day1'!$O$2</c:f>
              <c:strCache>
                <c:ptCount val="1"/>
                <c:pt idx="0">
                  <c:v>Total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'Day1'!$N$3:$N$27</c:f>
              <c:strCache>
                <c:ptCount val="25"/>
                <c:pt idx="0">
                  <c:v>Kavya Nair</c:v>
                </c:pt>
                <c:pt idx="1">
                  <c:v>Deepika Rani</c:v>
                </c:pt>
                <c:pt idx="2">
                  <c:v>Anjali Devi</c:v>
                </c:pt>
                <c:pt idx="3">
                  <c:v>Bhavana Sharma</c:v>
                </c:pt>
                <c:pt idx="4">
                  <c:v>Dhana Sai</c:v>
                </c:pt>
                <c:pt idx="5">
                  <c:v>Divya Rao</c:v>
                </c:pt>
                <c:pt idx="6">
                  <c:v>Sai Krishna</c:v>
                </c:pt>
                <c:pt idx="7">
                  <c:v>Swathi Reddy</c:v>
                </c:pt>
                <c:pt idx="8">
                  <c:v>Sneha Patel</c:v>
                </c:pt>
                <c:pt idx="9">
                  <c:v>Priya Sharma</c:v>
                </c:pt>
                <c:pt idx="10">
                  <c:v>Sowjanya Reddy</c:v>
                </c:pt>
                <c:pt idx="11">
                  <c:v>Pooja Verma</c:v>
                </c:pt>
                <c:pt idx="12">
                  <c:v>Sana Naidu</c:v>
                </c:pt>
                <c:pt idx="13">
                  <c:v>Teja Kumar</c:v>
                </c:pt>
                <c:pt idx="14">
                  <c:v>Manoj Singh</c:v>
                </c:pt>
                <c:pt idx="15">
                  <c:v>Arjun Rao</c:v>
                </c:pt>
                <c:pt idx="16">
                  <c:v>Mahesh Kumar</c:v>
                </c:pt>
                <c:pt idx="17">
                  <c:v>Rohit Singh</c:v>
                </c:pt>
                <c:pt idx="18">
                  <c:v>Vivek Reddy</c:v>
                </c:pt>
                <c:pt idx="19">
                  <c:v>Rahul Kumar</c:v>
                </c:pt>
                <c:pt idx="20">
                  <c:v>Akash Patel</c:v>
                </c:pt>
                <c:pt idx="21">
                  <c:v>Nikhil Varma</c:v>
                </c:pt>
                <c:pt idx="22">
                  <c:v>Ajay Kumar</c:v>
                </c:pt>
                <c:pt idx="23">
                  <c:v>Harsha Kumar</c:v>
                </c:pt>
                <c:pt idx="24">
                  <c:v>Kiran Reddy</c:v>
                </c:pt>
              </c:strCache>
            </c:strRef>
          </c:cat>
          <c:val>
            <c:numRef>
              <c:f>'Day1'!$O$3:$O$27</c:f>
              <c:numCache>
                <c:formatCode>General</c:formatCode>
                <c:ptCount val="25"/>
                <c:pt idx="0">
                  <c:v>386</c:v>
                </c:pt>
                <c:pt idx="1">
                  <c:v>382</c:v>
                </c:pt>
                <c:pt idx="2">
                  <c:v>376</c:v>
                </c:pt>
                <c:pt idx="3">
                  <c:v>374</c:v>
                </c:pt>
                <c:pt idx="4">
                  <c:v>302</c:v>
                </c:pt>
                <c:pt idx="5">
                  <c:v>362</c:v>
                </c:pt>
                <c:pt idx="6">
                  <c:v>234</c:v>
                </c:pt>
                <c:pt idx="7">
                  <c:v>305</c:v>
                </c:pt>
                <c:pt idx="8">
                  <c:v>358</c:v>
                </c:pt>
                <c:pt idx="9">
                  <c:v>351</c:v>
                </c:pt>
                <c:pt idx="10">
                  <c:v>349</c:v>
                </c:pt>
                <c:pt idx="11">
                  <c:v>283</c:v>
                </c:pt>
                <c:pt idx="12">
                  <c:v>332</c:v>
                </c:pt>
                <c:pt idx="13">
                  <c:v>229</c:v>
                </c:pt>
                <c:pt idx="14">
                  <c:v>330</c:v>
                </c:pt>
                <c:pt idx="15">
                  <c:v>328</c:v>
                </c:pt>
                <c:pt idx="16">
                  <c:v>328</c:v>
                </c:pt>
                <c:pt idx="17">
                  <c:v>281</c:v>
                </c:pt>
                <c:pt idx="18">
                  <c:v>271</c:v>
                </c:pt>
                <c:pt idx="19">
                  <c:v>315</c:v>
                </c:pt>
                <c:pt idx="20">
                  <c:v>206</c:v>
                </c:pt>
                <c:pt idx="21">
                  <c:v>322</c:v>
                </c:pt>
                <c:pt idx="22">
                  <c:v>213</c:v>
                </c:pt>
                <c:pt idx="23">
                  <c:v>284</c:v>
                </c:pt>
                <c:pt idx="2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B-47C7-9D92-1CE6AB3C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160020</xdr:colOff>
      <xdr:row>4</xdr:row>
      <xdr:rowOff>34290</xdr:rowOff>
    </xdr:from>
    <xdr:to>
      <xdr:col>23</xdr:col>
      <xdr:colOff>464820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CCCF6-145F-D49B-F180-B55923DD9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236220</xdr:colOff>
      <xdr:row>23</xdr:row>
      <xdr:rowOff>102870</xdr:rowOff>
    </xdr:from>
    <xdr:to>
      <xdr:col>23</xdr:col>
      <xdr:colOff>541020</xdr:colOff>
      <xdr:row>38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D30597-123F-8FBD-B750-AE3751590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janya" refreshedDate="46198.893389930556" createdVersion="8" refreshedVersion="8" minRefreshableVersion="3" recordCount="25" xr:uid="{DB148B0E-AD75-4895-92B8-A793F13D2E38}">
  <cacheSource type="worksheet">
    <worksheetSource ref="A2:M27" sheet="Task 7"/>
  </cacheSource>
  <cacheFields count="13">
    <cacheField name="S.NO" numFmtId="0">
      <sharedItems containsSemiMixedTypes="0" containsString="0" containsNumber="1" containsInteger="1" minValue="1" maxValue="25"/>
    </cacheField>
    <cacheField name="First Name" numFmtId="0">
      <sharedItems/>
    </cacheField>
    <cacheField name="Last Name" numFmtId="0">
      <sharedItems count="14">
        <s v="Kumar"/>
        <s v="Reddy"/>
        <s v="Krishna"/>
        <s v="Naidu"/>
        <s v="Sai"/>
        <s v="Sharma"/>
        <s v="Devi"/>
        <s v="Rao"/>
        <s v="Varma"/>
        <s v="Patel"/>
        <s v="Singh"/>
        <s v="Rani"/>
        <s v="Verma"/>
        <s v="Nair"/>
      </sharedItems>
    </cacheField>
    <cacheField name="DOB" numFmtId="14">
      <sharedItems containsSemiMixedTypes="0" containsNonDate="0" containsDate="1" containsString="0" minDate="2000-02-12T00:00:00" maxDate="2005-07-02T00:00:00"/>
    </cacheField>
    <cacheField name="Telugu" numFmtId="0">
      <sharedItems containsSemiMixedTypes="0" containsString="0" containsNumber="1" containsInteger="1" minValue="65" maxValue="98"/>
    </cacheField>
    <cacheField name="Hindi" numFmtId="0">
      <sharedItems containsSemiMixedTypes="0" containsString="0" containsNumber="1" containsInteger="1" minValue="71" maxValue="96"/>
    </cacheField>
    <cacheField name="Science" numFmtId="0">
      <sharedItems containsSemiMixedTypes="0" containsString="0" containsNumber="1" containsInteger="1" minValue="59" maxValue="100"/>
    </cacheField>
    <cacheField name="English" numFmtId="0">
      <sharedItems containsSemiMixedTypes="0" containsString="0" containsNumber="1" containsInteger="1" minValue="68" maxValue="97"/>
    </cacheField>
    <cacheField name="Total Marks" numFmtId="0">
      <sharedItems containsSemiMixedTypes="0" containsString="0" containsNumber="1" containsInteger="1" minValue="275" maxValue="386"/>
    </cacheField>
    <cacheField name="Average Marks" numFmtId="0">
      <sharedItems containsSemiMixedTypes="0" containsString="0" containsNumber="1" minValue="68.75" maxValue="96.5" count="21">
        <n v="82"/>
        <n v="87.25"/>
        <n v="90.5"/>
        <n v="83"/>
        <n v="93.5"/>
        <n v="78.75"/>
        <n v="87.75"/>
        <n v="68.75"/>
        <n v="94"/>
        <n v="75"/>
        <n v="89.5"/>
        <n v="81.5"/>
        <n v="95.5"/>
        <n v="71"/>
        <n v="85.5"/>
        <n v="80.75"/>
        <n v="96.5"/>
        <n v="72.5"/>
        <n v="82.5"/>
        <n v="76.25"/>
        <n v="82.75"/>
      </sharedItems>
    </cacheField>
    <cacheField name="Max Marks" numFmtId="0">
      <sharedItems containsSemiMixedTypes="0" containsString="0" containsNumber="1" containsInteger="1" minValue="72" maxValue="100"/>
    </cacheField>
    <cacheField name="Min Marks" numFmtId="0">
      <sharedItems containsSemiMixedTypes="0" containsString="0" containsNumber="1" containsInteger="1" minValue="59" maxValue="95"/>
    </cacheField>
    <cacheField name="Full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Mahesh"/>
    <x v="0"/>
    <d v="2000-02-12T00:00:00"/>
    <n v="90"/>
    <n v="80"/>
    <n v="68"/>
    <n v="90"/>
    <n v="328"/>
    <x v="0"/>
    <n v="90"/>
    <n v="68"/>
    <s v="MaheshKumar"/>
  </r>
  <r>
    <n v="2"/>
    <s v="Sowjanya"/>
    <x v="1"/>
    <d v="2005-07-01T00:00:00"/>
    <n v="91"/>
    <n v="89"/>
    <n v="78"/>
    <n v="91"/>
    <n v="349"/>
    <x v="1"/>
    <n v="91"/>
    <n v="78"/>
    <s v="SowjanyaReddy"/>
  </r>
  <r>
    <n v="3"/>
    <s v="Sai"/>
    <x v="2"/>
    <d v="2004-08-17T00:00:00"/>
    <n v="92"/>
    <n v="88"/>
    <n v="90"/>
    <n v="92"/>
    <n v="362"/>
    <x v="2"/>
    <n v="92"/>
    <n v="88"/>
    <s v="SaiKrishna"/>
  </r>
  <r>
    <n v="4"/>
    <s v="Sana"/>
    <x v="3"/>
    <d v="2001-10-26T00:00:00"/>
    <n v="93"/>
    <n v="87"/>
    <n v="59"/>
    <n v="93"/>
    <n v="332"/>
    <x v="3"/>
    <n v="93"/>
    <n v="59"/>
    <s v="SanaNaidu"/>
  </r>
  <r>
    <n v="5"/>
    <s v="Dhana"/>
    <x v="4"/>
    <d v="2004-05-21T00:00:00"/>
    <n v="94"/>
    <n v="86"/>
    <n v="100"/>
    <n v="94"/>
    <n v="374"/>
    <x v="4"/>
    <n v="100"/>
    <n v="86"/>
    <s v="DhanaSai"/>
  </r>
  <r>
    <n v="6"/>
    <s v="Rahul"/>
    <x v="0"/>
    <d v="2002-01-14T00:00:00"/>
    <n v="78"/>
    <n v="82"/>
    <n v="75"/>
    <n v="80"/>
    <n v="315"/>
    <x v="5"/>
    <n v="82"/>
    <n v="75"/>
    <s v="RahulKumar"/>
  </r>
  <r>
    <n v="7"/>
    <s v="Priya"/>
    <x v="5"/>
    <d v="2003-03-05T00:00:00"/>
    <n v="88"/>
    <n v="90"/>
    <n v="84"/>
    <n v="89"/>
    <n v="351"/>
    <x v="6"/>
    <n v="90"/>
    <n v="84"/>
    <s v="PriyaSharma"/>
  </r>
  <r>
    <n v="8"/>
    <s v="Kiran"/>
    <x v="1"/>
    <d v="2001-04-19T00:00:00"/>
    <n v="65"/>
    <n v="72"/>
    <n v="70"/>
    <n v="68"/>
    <n v="275"/>
    <x v="7"/>
    <n v="72"/>
    <n v="65"/>
    <s v="KiranReddy"/>
  </r>
  <r>
    <n v="9"/>
    <s v="Anjali"/>
    <x v="6"/>
    <d v="2002-11-11T00:00:00"/>
    <n v="96"/>
    <n v="94"/>
    <n v="91"/>
    <n v="95"/>
    <n v="376"/>
    <x v="8"/>
    <n v="96"/>
    <n v="91"/>
    <s v="AnjaliDevi"/>
  </r>
  <r>
    <n v="10"/>
    <s v="Arjun"/>
    <x v="7"/>
    <d v="2003-06-30T00:00:00"/>
    <n v="82"/>
    <n v="79"/>
    <n v="86"/>
    <n v="81"/>
    <n v="328"/>
    <x v="0"/>
    <n v="86"/>
    <n v="79"/>
    <s v="ArjunRao"/>
  </r>
  <r>
    <n v="11"/>
    <s v="Nikhil"/>
    <x v="8"/>
    <d v="2001-08-18T00:00:00"/>
    <n v="74"/>
    <n v="77"/>
    <n v="73"/>
    <n v="76"/>
    <n v="300"/>
    <x v="9"/>
    <n v="77"/>
    <n v="73"/>
    <s v="NikhilVarma"/>
  </r>
  <r>
    <n v="12"/>
    <s v="Sneha"/>
    <x v="9"/>
    <d v="2002-09-09T00:00:00"/>
    <n v="89"/>
    <n v="91"/>
    <n v="88"/>
    <n v="90"/>
    <n v="358"/>
    <x v="10"/>
    <n v="91"/>
    <n v="88"/>
    <s v="SnehaPatel"/>
  </r>
  <r>
    <n v="13"/>
    <s v="Rohit"/>
    <x v="10"/>
    <d v="2000-10-15T00:00:00"/>
    <n v="83"/>
    <n v="80"/>
    <n v="79"/>
    <n v="84"/>
    <n v="326"/>
    <x v="11"/>
    <n v="84"/>
    <n v="79"/>
    <s v="RohitSingh"/>
  </r>
  <r>
    <n v="14"/>
    <s v="Deepika"/>
    <x v="11"/>
    <d v="2003-12-25T00:00:00"/>
    <n v="95"/>
    <n v="96"/>
    <n v="94"/>
    <n v="97"/>
    <n v="382"/>
    <x v="12"/>
    <n v="97"/>
    <n v="94"/>
    <s v="DeepikaRani"/>
  </r>
  <r>
    <n v="15"/>
    <s v="Harsha"/>
    <x v="0"/>
    <d v="2002-02-02T00:00:00"/>
    <n v="69"/>
    <n v="71"/>
    <n v="74"/>
    <n v="70"/>
    <n v="284"/>
    <x v="13"/>
    <n v="74"/>
    <n v="69"/>
    <s v="HarshaKumar"/>
  </r>
  <r>
    <n v="16"/>
    <s v="Pooja"/>
    <x v="12"/>
    <d v="2001-01-07T00:00:00"/>
    <n v="87"/>
    <n v="85"/>
    <n v="82"/>
    <n v="88"/>
    <n v="342"/>
    <x v="14"/>
    <n v="88"/>
    <n v="82"/>
    <s v="PoojaVerma"/>
  </r>
  <r>
    <n v="17"/>
    <s v="Vivek"/>
    <x v="1"/>
    <d v="2004-03-16T00:00:00"/>
    <n v="79"/>
    <n v="81"/>
    <n v="83"/>
    <n v="80"/>
    <n v="323"/>
    <x v="15"/>
    <n v="83"/>
    <n v="79"/>
    <s v="VivekReddy"/>
  </r>
  <r>
    <n v="18"/>
    <s v="Kavya"/>
    <x v="13"/>
    <d v="2002-04-23T00:00:00"/>
    <n v="98"/>
    <n v="95"/>
    <n v="97"/>
    <n v="96"/>
    <n v="386"/>
    <x v="16"/>
    <n v="98"/>
    <n v="95"/>
    <s v="KavyaNair"/>
  </r>
  <r>
    <n v="19"/>
    <s v="Ajay"/>
    <x v="0"/>
    <d v="2003-05-10T00:00:00"/>
    <n v="72"/>
    <n v="75"/>
    <n v="70"/>
    <n v="73"/>
    <n v="290"/>
    <x v="17"/>
    <n v="75"/>
    <n v="70"/>
    <s v="AjayKumar"/>
  </r>
  <r>
    <n v="20"/>
    <s v="Divya"/>
    <x v="7"/>
    <d v="2001-06-27T00:00:00"/>
    <n v="90"/>
    <n v="92"/>
    <n v="89"/>
    <n v="91"/>
    <n v="362"/>
    <x v="2"/>
    <n v="92"/>
    <n v="89"/>
    <s v="DivyaRao"/>
  </r>
  <r>
    <n v="21"/>
    <s v="Manoj"/>
    <x v="10"/>
    <d v="2002-07-13T00:00:00"/>
    <n v="84"/>
    <n v="82"/>
    <n v="81"/>
    <n v="83"/>
    <n v="330"/>
    <x v="18"/>
    <n v="84"/>
    <n v="81"/>
    <s v="ManojSingh"/>
  </r>
  <r>
    <n v="22"/>
    <s v="Swathi"/>
    <x v="1"/>
    <d v="2003-08-08T00:00:00"/>
    <n v="91"/>
    <n v="90"/>
    <n v="92"/>
    <n v="89"/>
    <n v="362"/>
    <x v="2"/>
    <n v="92"/>
    <n v="89"/>
    <s v="SwathiReddy"/>
  </r>
  <r>
    <n v="23"/>
    <s v="Akash"/>
    <x v="9"/>
    <d v="2001-09-22T00:00:00"/>
    <n v="76"/>
    <n v="74"/>
    <n v="78"/>
    <n v="77"/>
    <n v="305"/>
    <x v="19"/>
    <n v="78"/>
    <n v="74"/>
    <s v="AkashPatel"/>
  </r>
  <r>
    <n v="24"/>
    <s v="Bhavana"/>
    <x v="5"/>
    <d v="2002-10-17T00:00:00"/>
    <n v="93"/>
    <n v="94"/>
    <n v="95"/>
    <n v="92"/>
    <n v="374"/>
    <x v="4"/>
    <n v="95"/>
    <n v="92"/>
    <s v="BhavanaSharma"/>
  </r>
  <r>
    <n v="25"/>
    <s v="Teja"/>
    <x v="0"/>
    <d v="2003-11-29T00:00:00"/>
    <n v="81"/>
    <n v="83"/>
    <n v="85"/>
    <n v="82"/>
    <n v="331"/>
    <x v="20"/>
    <n v="85"/>
    <n v="81"/>
    <s v="TejaKum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0706A-790F-486E-AB00-A63068114BC4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3">
    <pivotField showAll="0"/>
    <pivotField showAll="0"/>
    <pivotField axis="axisRow" showAll="0">
      <items count="15">
        <item x="6"/>
        <item x="2"/>
        <item x="0"/>
        <item x="3"/>
        <item x="13"/>
        <item x="9"/>
        <item x="11"/>
        <item x="7"/>
        <item x="1"/>
        <item x="4"/>
        <item x="5"/>
        <item x="10"/>
        <item x="8"/>
        <item x="12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>
      <items count="22">
        <item x="7"/>
        <item x="13"/>
        <item x="17"/>
        <item x="9"/>
        <item x="19"/>
        <item x="5"/>
        <item x="15"/>
        <item x="11"/>
        <item x="0"/>
        <item x="18"/>
        <item x="20"/>
        <item x="3"/>
        <item x="14"/>
        <item x="1"/>
        <item x="6"/>
        <item x="10"/>
        <item x="2"/>
        <item x="4"/>
        <item x="8"/>
        <item x="12"/>
        <item x="16"/>
        <item t="default"/>
      </items>
    </pivotField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verage Mark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71EF3-0482-453F-900F-ACD9E54BCD93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3">
    <pivotField showAll="0"/>
    <pivotField showAll="0"/>
    <pivotField axis="axisRow" showAll="0">
      <items count="15">
        <item x="6"/>
        <item x="2"/>
        <item x="0"/>
        <item x="3"/>
        <item x="13"/>
        <item x="9"/>
        <item x="11"/>
        <item x="7"/>
        <item x="1"/>
        <item x="4"/>
        <item x="5"/>
        <item x="10"/>
        <item x="8"/>
        <item x="12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 Mark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B839-50E2-4D9D-918D-E5BC37DE3060}">
  <dimension ref="A1:G27"/>
  <sheetViews>
    <sheetView topLeftCell="A2" workbookViewId="0">
      <selection sqref="A1:G27"/>
    </sheetView>
  </sheetViews>
  <sheetFormatPr defaultRowHeight="14.4" x14ac:dyDescent="0.3"/>
  <cols>
    <col min="3" max="3" width="16.77734375" style="6" bestFit="1" customWidth="1"/>
  </cols>
  <sheetData>
    <row r="1" spans="1:7" ht="28.2" x14ac:dyDescent="0.55000000000000004">
      <c r="A1" s="15" t="s">
        <v>52</v>
      </c>
      <c r="B1" s="14"/>
      <c r="C1" s="14"/>
      <c r="D1" s="14"/>
      <c r="E1" s="14"/>
      <c r="F1" s="14"/>
      <c r="G1" s="14"/>
    </row>
    <row r="2" spans="1:7" ht="28.8" x14ac:dyDescent="0.3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2" t="s">
        <v>36</v>
      </c>
      <c r="B3" s="2" t="s">
        <v>37</v>
      </c>
      <c r="C3" s="5">
        <v>37369</v>
      </c>
      <c r="D3" s="2">
        <v>98</v>
      </c>
      <c r="E3" s="2">
        <v>95</v>
      </c>
      <c r="F3" s="2">
        <v>97</v>
      </c>
      <c r="G3" s="2">
        <v>96</v>
      </c>
    </row>
    <row r="4" spans="1:7" x14ac:dyDescent="0.3">
      <c r="A4" s="2" t="s">
        <v>30</v>
      </c>
      <c r="B4" s="2" t="s">
        <v>31</v>
      </c>
      <c r="C4" s="5">
        <v>37980</v>
      </c>
      <c r="D4" s="2">
        <v>95</v>
      </c>
      <c r="E4" s="2">
        <v>96</v>
      </c>
      <c r="F4" s="2">
        <v>94</v>
      </c>
      <c r="G4" s="2">
        <v>97</v>
      </c>
    </row>
    <row r="5" spans="1:7" x14ac:dyDescent="0.3">
      <c r="A5" s="2" t="s">
        <v>20</v>
      </c>
      <c r="B5" s="2" t="s">
        <v>21</v>
      </c>
      <c r="C5" s="5">
        <v>37571</v>
      </c>
      <c r="D5" s="2">
        <v>96</v>
      </c>
      <c r="E5" s="2">
        <v>94</v>
      </c>
      <c r="F5" s="2">
        <v>91</v>
      </c>
      <c r="G5" s="2">
        <v>95</v>
      </c>
    </row>
    <row r="6" spans="1:7" x14ac:dyDescent="0.3">
      <c r="A6" s="2" t="s">
        <v>43</v>
      </c>
      <c r="B6" s="2" t="s">
        <v>18</v>
      </c>
      <c r="C6" s="5">
        <v>37546</v>
      </c>
      <c r="D6" s="2">
        <v>93</v>
      </c>
      <c r="E6" s="2">
        <v>94</v>
      </c>
      <c r="F6" s="2">
        <v>95</v>
      </c>
      <c r="G6" s="2">
        <v>92</v>
      </c>
    </row>
    <row r="7" spans="1:7" x14ac:dyDescent="0.3">
      <c r="A7" s="2" t="s">
        <v>15</v>
      </c>
      <c r="B7" s="2" t="s">
        <v>12</v>
      </c>
      <c r="C7" s="5">
        <v>38128</v>
      </c>
      <c r="D7" s="2">
        <v>94</v>
      </c>
      <c r="E7" s="2">
        <v>86</v>
      </c>
      <c r="F7" s="2">
        <v>100</v>
      </c>
      <c r="G7" s="2">
        <v>94</v>
      </c>
    </row>
    <row r="8" spans="1:7" x14ac:dyDescent="0.3">
      <c r="A8" s="2" t="s">
        <v>39</v>
      </c>
      <c r="B8" s="2" t="s">
        <v>23</v>
      </c>
      <c r="C8" s="5">
        <v>37069</v>
      </c>
      <c r="D8" s="2">
        <v>90</v>
      </c>
      <c r="E8" s="2">
        <v>92</v>
      </c>
      <c r="F8" s="2">
        <v>89</v>
      </c>
      <c r="G8" s="2">
        <v>91</v>
      </c>
    </row>
    <row r="9" spans="1:7" x14ac:dyDescent="0.3">
      <c r="A9" s="2" t="s">
        <v>12</v>
      </c>
      <c r="B9" s="2" t="s">
        <v>13</v>
      </c>
      <c r="C9" s="5">
        <v>38216</v>
      </c>
      <c r="D9" s="2">
        <v>92</v>
      </c>
      <c r="E9" s="2">
        <v>88</v>
      </c>
      <c r="F9" s="2">
        <v>90</v>
      </c>
      <c r="G9" s="2">
        <v>92</v>
      </c>
    </row>
    <row r="10" spans="1:7" x14ac:dyDescent="0.3">
      <c r="A10" s="2" t="s">
        <v>41</v>
      </c>
      <c r="B10" s="2" t="s">
        <v>11</v>
      </c>
      <c r="C10" s="5">
        <v>37841</v>
      </c>
      <c r="D10" s="2">
        <v>91</v>
      </c>
      <c r="E10" s="2">
        <v>90</v>
      </c>
      <c r="F10" s="2">
        <v>92</v>
      </c>
      <c r="G10" s="2">
        <v>89</v>
      </c>
    </row>
    <row r="11" spans="1:7" x14ac:dyDescent="0.3">
      <c r="A11" s="2" t="s">
        <v>26</v>
      </c>
      <c r="B11" s="2" t="s">
        <v>27</v>
      </c>
      <c r="C11" s="5">
        <v>37508</v>
      </c>
      <c r="D11" s="2">
        <v>89</v>
      </c>
      <c r="E11" s="2">
        <v>91</v>
      </c>
      <c r="F11" s="2">
        <v>88</v>
      </c>
      <c r="G11" s="2">
        <v>90</v>
      </c>
    </row>
    <row r="12" spans="1:7" x14ac:dyDescent="0.3">
      <c r="A12" s="2" t="s">
        <v>17</v>
      </c>
      <c r="B12" s="2" t="s">
        <v>18</v>
      </c>
      <c r="C12" s="5">
        <v>37685</v>
      </c>
      <c r="D12" s="2">
        <v>88</v>
      </c>
      <c r="E12" s="2">
        <v>90</v>
      </c>
      <c r="F12" s="2">
        <v>84</v>
      </c>
      <c r="G12" s="2">
        <v>89</v>
      </c>
    </row>
    <row r="13" spans="1:7" x14ac:dyDescent="0.3">
      <c r="A13" s="2" t="s">
        <v>10</v>
      </c>
      <c r="B13" s="2" t="s">
        <v>11</v>
      </c>
      <c r="C13" s="5">
        <v>38534</v>
      </c>
      <c r="D13" s="2">
        <v>91</v>
      </c>
      <c r="E13" s="2">
        <v>89</v>
      </c>
      <c r="F13" s="2">
        <v>78</v>
      </c>
      <c r="G13" s="2">
        <v>91</v>
      </c>
    </row>
    <row r="14" spans="1:7" x14ac:dyDescent="0.3">
      <c r="A14" s="2" t="s">
        <v>33</v>
      </c>
      <c r="B14" s="2" t="s">
        <v>34</v>
      </c>
      <c r="C14" s="5">
        <v>36898</v>
      </c>
      <c r="D14" s="2">
        <v>87</v>
      </c>
      <c r="E14" s="2">
        <v>85</v>
      </c>
      <c r="F14" s="2">
        <v>82</v>
      </c>
      <c r="G14" s="2">
        <v>88</v>
      </c>
    </row>
    <row r="15" spans="1:7" x14ac:dyDescent="0.3">
      <c r="A15" s="2" t="s">
        <v>51</v>
      </c>
      <c r="B15" s="2" t="s">
        <v>14</v>
      </c>
      <c r="C15" s="5">
        <v>37190</v>
      </c>
      <c r="D15" s="2">
        <v>93</v>
      </c>
      <c r="E15" s="2">
        <v>87</v>
      </c>
      <c r="F15" s="2">
        <v>59</v>
      </c>
      <c r="G15" s="2">
        <v>93</v>
      </c>
    </row>
    <row r="16" spans="1:7" x14ac:dyDescent="0.3">
      <c r="A16" s="2" t="s">
        <v>44</v>
      </c>
      <c r="B16" s="2" t="s">
        <v>9</v>
      </c>
      <c r="C16" s="5">
        <v>37954</v>
      </c>
      <c r="D16" s="2">
        <v>81</v>
      </c>
      <c r="E16" s="2">
        <v>83</v>
      </c>
      <c r="F16" s="2">
        <v>85</v>
      </c>
      <c r="G16" s="2">
        <v>82</v>
      </c>
    </row>
    <row r="17" spans="1:7" x14ac:dyDescent="0.3">
      <c r="A17" s="2" t="s">
        <v>40</v>
      </c>
      <c r="B17" s="2" t="s">
        <v>29</v>
      </c>
      <c r="C17" s="5">
        <v>37450</v>
      </c>
      <c r="D17" s="2">
        <v>84</v>
      </c>
      <c r="E17" s="2">
        <v>82</v>
      </c>
      <c r="F17" s="2">
        <v>81</v>
      </c>
      <c r="G17" s="2">
        <v>83</v>
      </c>
    </row>
    <row r="18" spans="1:7" x14ac:dyDescent="0.3">
      <c r="A18" s="2" t="s">
        <v>22</v>
      </c>
      <c r="B18" s="2" t="s">
        <v>23</v>
      </c>
      <c r="C18" s="5">
        <v>37802</v>
      </c>
      <c r="D18" s="2">
        <v>82</v>
      </c>
      <c r="E18" s="2">
        <v>79</v>
      </c>
      <c r="F18" s="2">
        <v>86</v>
      </c>
      <c r="G18" s="2">
        <v>81</v>
      </c>
    </row>
    <row r="19" spans="1:7" x14ac:dyDescent="0.3">
      <c r="A19" s="2" t="s">
        <v>8</v>
      </c>
      <c r="B19" s="2" t="s">
        <v>9</v>
      </c>
      <c r="C19" s="5">
        <v>36568</v>
      </c>
      <c r="D19" s="2">
        <v>90</v>
      </c>
      <c r="E19" s="2">
        <v>80</v>
      </c>
      <c r="F19" s="2">
        <v>68</v>
      </c>
      <c r="G19" s="2">
        <v>90</v>
      </c>
    </row>
    <row r="20" spans="1:7" x14ac:dyDescent="0.3">
      <c r="A20" s="2" t="s">
        <v>28</v>
      </c>
      <c r="B20" s="2" t="s">
        <v>29</v>
      </c>
      <c r="C20" s="5">
        <v>36814</v>
      </c>
      <c r="D20" s="2">
        <v>83</v>
      </c>
      <c r="E20" s="2">
        <v>80</v>
      </c>
      <c r="F20" s="2">
        <v>79</v>
      </c>
      <c r="G20" s="2">
        <v>84</v>
      </c>
    </row>
    <row r="21" spans="1:7" x14ac:dyDescent="0.3">
      <c r="A21" s="2" t="s">
        <v>35</v>
      </c>
      <c r="B21" s="2" t="s">
        <v>11</v>
      </c>
      <c r="C21" s="5">
        <v>38062</v>
      </c>
      <c r="D21" s="2">
        <v>79</v>
      </c>
      <c r="E21" s="2">
        <v>81</v>
      </c>
      <c r="F21" s="2">
        <v>83</v>
      </c>
      <c r="G21" s="2">
        <v>80</v>
      </c>
    </row>
    <row r="22" spans="1:7" x14ac:dyDescent="0.3">
      <c r="A22" s="2" t="s">
        <v>16</v>
      </c>
      <c r="B22" s="2" t="s">
        <v>9</v>
      </c>
      <c r="C22" s="5">
        <v>37270</v>
      </c>
      <c r="D22" s="2">
        <v>78</v>
      </c>
      <c r="E22" s="2">
        <v>82</v>
      </c>
      <c r="F22" s="2">
        <v>75</v>
      </c>
      <c r="G22" s="2">
        <v>80</v>
      </c>
    </row>
    <row r="23" spans="1:7" x14ac:dyDescent="0.3">
      <c r="A23" s="2" t="s">
        <v>42</v>
      </c>
      <c r="B23" s="2" t="s">
        <v>27</v>
      </c>
      <c r="C23" s="5">
        <v>37156</v>
      </c>
      <c r="D23" s="2">
        <v>76</v>
      </c>
      <c r="E23" s="2">
        <v>74</v>
      </c>
      <c r="F23" s="2">
        <v>78</v>
      </c>
      <c r="G23" s="2">
        <v>77</v>
      </c>
    </row>
    <row r="24" spans="1:7" x14ac:dyDescent="0.3">
      <c r="A24" s="2" t="s">
        <v>24</v>
      </c>
      <c r="B24" s="2" t="s">
        <v>25</v>
      </c>
      <c r="C24" s="5">
        <v>37121</v>
      </c>
      <c r="D24" s="2">
        <v>74</v>
      </c>
      <c r="E24" s="2">
        <v>77</v>
      </c>
      <c r="F24" s="2">
        <v>73</v>
      </c>
      <c r="G24" s="2">
        <v>76</v>
      </c>
    </row>
    <row r="25" spans="1:7" x14ac:dyDescent="0.3">
      <c r="A25" s="2" t="s">
        <v>38</v>
      </c>
      <c r="B25" s="2" t="s">
        <v>9</v>
      </c>
      <c r="C25" s="5">
        <v>37751</v>
      </c>
      <c r="D25" s="2">
        <v>72</v>
      </c>
      <c r="E25" s="2">
        <v>75</v>
      </c>
      <c r="F25" s="2">
        <v>70</v>
      </c>
      <c r="G25" s="2">
        <v>73</v>
      </c>
    </row>
    <row r="26" spans="1:7" x14ac:dyDescent="0.3">
      <c r="A26" s="2" t="s">
        <v>32</v>
      </c>
      <c r="B26" s="2" t="s">
        <v>9</v>
      </c>
      <c r="C26" s="5">
        <v>37289</v>
      </c>
      <c r="D26" s="2">
        <v>69</v>
      </c>
      <c r="E26" s="2">
        <v>71</v>
      </c>
      <c r="F26" s="2">
        <v>74</v>
      </c>
      <c r="G26" s="2">
        <v>70</v>
      </c>
    </row>
    <row r="27" spans="1:7" x14ac:dyDescent="0.3">
      <c r="A27" s="2" t="s">
        <v>19</v>
      </c>
      <c r="B27" s="2" t="s">
        <v>11</v>
      </c>
      <c r="C27" s="5">
        <v>37000</v>
      </c>
      <c r="D27" s="2">
        <v>65</v>
      </c>
      <c r="E27" s="2">
        <v>72</v>
      </c>
      <c r="F27" s="2">
        <v>70</v>
      </c>
      <c r="G27" s="2">
        <v>68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A5F2-A1FA-48E3-BCA8-91360C50B599}">
  <dimension ref="A1:N29"/>
  <sheetViews>
    <sheetView workbookViewId="0">
      <selection activeCell="M5" sqref="M5:M29"/>
    </sheetView>
  </sheetViews>
  <sheetFormatPr defaultRowHeight="14.4" x14ac:dyDescent="0.3"/>
  <cols>
    <col min="4" max="4" width="16.77734375" style="9" bestFit="1" customWidth="1"/>
    <col min="12" max="12" width="14.77734375" customWidth="1"/>
    <col min="13" max="13" width="27.33203125" customWidth="1"/>
  </cols>
  <sheetData>
    <row r="1" spans="1:14" ht="24" customHeight="1" x14ac:dyDescent="0.5">
      <c r="A1" s="17" t="s">
        <v>54</v>
      </c>
      <c r="B1" s="17"/>
      <c r="C1" s="17"/>
      <c r="D1" s="17"/>
      <c r="E1" s="17"/>
      <c r="F1" s="17"/>
      <c r="G1" s="17"/>
      <c r="H1" s="17"/>
    </row>
    <row r="2" spans="1:14" ht="17.399999999999999" customHeight="1" x14ac:dyDescent="0.5">
      <c r="A2" s="18"/>
      <c r="B2" s="18"/>
      <c r="C2" s="18"/>
      <c r="D2" s="18"/>
      <c r="E2" s="18"/>
      <c r="F2" s="18"/>
      <c r="G2" s="18"/>
      <c r="H2" s="18"/>
    </row>
    <row r="3" spans="1:14" ht="23.4" x14ac:dyDescent="0.45">
      <c r="A3" s="11" t="s">
        <v>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28.8" customHeight="1" x14ac:dyDescent="0.3">
      <c r="A4" s="3" t="s">
        <v>0</v>
      </c>
      <c r="B4" s="3" t="s">
        <v>1</v>
      </c>
      <c r="C4" s="3" t="s">
        <v>2</v>
      </c>
      <c r="D4" s="7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10" t="s">
        <v>63</v>
      </c>
    </row>
    <row r="5" spans="1:14" x14ac:dyDescent="0.3">
      <c r="A5" s="2">
        <v>18</v>
      </c>
      <c r="B5" s="2" t="s">
        <v>36</v>
      </c>
      <c r="C5" s="2" t="s">
        <v>37</v>
      </c>
      <c r="D5" s="8">
        <v>37369</v>
      </c>
      <c r="E5" s="2">
        <v>98</v>
      </c>
      <c r="F5" s="2">
        <v>95</v>
      </c>
      <c r="G5" s="2">
        <v>97</v>
      </c>
      <c r="H5" s="2">
        <v>96</v>
      </c>
      <c r="I5" s="13">
        <f>SUM(E5:H5)</f>
        <v>386</v>
      </c>
      <c r="J5" s="13">
        <f>AVERAGE(E5:H5)</f>
        <v>96.5</v>
      </c>
      <c r="K5" s="13">
        <f>MAX(E5:H5)</f>
        <v>98</v>
      </c>
      <c r="L5" s="13">
        <f>MIN(E5:H5)</f>
        <v>95</v>
      </c>
      <c r="M5" s="13" t="str">
        <f>_xlfn.CONCAT(B5," ",C5)</f>
        <v>Kavya Nair</v>
      </c>
      <c r="N5" t="str">
        <f>IF(AND(E5&gt;35,F5&gt;35,G5&gt;35,H5&gt;35),"Pass","Fail")</f>
        <v>Pass</v>
      </c>
    </row>
    <row r="6" spans="1:14" x14ac:dyDescent="0.3">
      <c r="A6" s="2">
        <v>14</v>
      </c>
      <c r="B6" s="2" t="s">
        <v>30</v>
      </c>
      <c r="C6" s="2" t="s">
        <v>31</v>
      </c>
      <c r="D6" s="8">
        <v>37980</v>
      </c>
      <c r="E6" s="2">
        <v>95</v>
      </c>
      <c r="F6" s="2">
        <v>96</v>
      </c>
      <c r="G6" s="2">
        <v>94</v>
      </c>
      <c r="H6" s="2">
        <v>97</v>
      </c>
      <c r="I6" s="13">
        <f>SUM(E6:H6)</f>
        <v>382</v>
      </c>
      <c r="J6" s="13">
        <f>AVERAGE(E6:H6)</f>
        <v>95.5</v>
      </c>
      <c r="K6" s="13">
        <f>MAX(E6:H6)</f>
        <v>97</v>
      </c>
      <c r="L6" s="13">
        <f>MIN(E6:H6)</f>
        <v>94</v>
      </c>
      <c r="M6" s="13" t="str">
        <f t="shared" ref="M6:M29" si="0">_xlfn.CONCAT(B6," ",C6)</f>
        <v>Deepika Rani</v>
      </c>
      <c r="N6" t="str">
        <f t="shared" ref="N6:N29" si="1">IF(AND(E6&gt;35,F6&gt;35,G6&gt;35,H6&gt;35),"Pass","Fail")</f>
        <v>Pass</v>
      </c>
    </row>
    <row r="7" spans="1:14" x14ac:dyDescent="0.3">
      <c r="A7" s="2">
        <v>9</v>
      </c>
      <c r="B7" s="2" t="s">
        <v>20</v>
      </c>
      <c r="C7" s="2" t="s">
        <v>21</v>
      </c>
      <c r="D7" s="8">
        <v>37571</v>
      </c>
      <c r="E7" s="2">
        <v>96</v>
      </c>
      <c r="F7" s="2">
        <v>94</v>
      </c>
      <c r="G7" s="2">
        <v>91</v>
      </c>
      <c r="H7" s="2">
        <v>95</v>
      </c>
      <c r="I7" s="13">
        <f>SUM(E7:H7)</f>
        <v>376</v>
      </c>
      <c r="J7" s="13">
        <f>AVERAGE(E7:H7)</f>
        <v>94</v>
      </c>
      <c r="K7" s="13">
        <f>MAX(E7:H7)</f>
        <v>96</v>
      </c>
      <c r="L7" s="13">
        <f>MIN(E7:H7)</f>
        <v>91</v>
      </c>
      <c r="M7" s="13" t="str">
        <f t="shared" si="0"/>
        <v>Anjali Devi</v>
      </c>
      <c r="N7" t="str">
        <f t="shared" si="1"/>
        <v>Pass</v>
      </c>
    </row>
    <row r="8" spans="1:14" x14ac:dyDescent="0.3">
      <c r="A8" s="2">
        <v>24</v>
      </c>
      <c r="B8" s="2" t="s">
        <v>43</v>
      </c>
      <c r="C8" s="2" t="s">
        <v>18</v>
      </c>
      <c r="D8" s="8">
        <v>37546</v>
      </c>
      <c r="E8" s="2">
        <v>93</v>
      </c>
      <c r="F8" s="2">
        <v>94</v>
      </c>
      <c r="G8" s="2">
        <v>95</v>
      </c>
      <c r="H8" s="2">
        <v>92</v>
      </c>
      <c r="I8" s="13">
        <f>SUM(E8:H8)</f>
        <v>374</v>
      </c>
      <c r="J8" s="13">
        <f>AVERAGE(E8:H8)</f>
        <v>93.5</v>
      </c>
      <c r="K8" s="13">
        <f>MAX(E8:H8)</f>
        <v>95</v>
      </c>
      <c r="L8" s="13">
        <f>MIN(E8:H8)</f>
        <v>92</v>
      </c>
      <c r="M8" s="13" t="str">
        <f t="shared" si="0"/>
        <v>Bhavana Sharma</v>
      </c>
      <c r="N8" t="str">
        <f t="shared" si="1"/>
        <v>Pass</v>
      </c>
    </row>
    <row r="9" spans="1:14" x14ac:dyDescent="0.3">
      <c r="A9" s="2">
        <v>5</v>
      </c>
      <c r="B9" s="2" t="s">
        <v>15</v>
      </c>
      <c r="C9" s="2" t="s">
        <v>12</v>
      </c>
      <c r="D9" s="8">
        <v>38128</v>
      </c>
      <c r="E9" s="2">
        <v>94</v>
      </c>
      <c r="F9" s="2">
        <v>86</v>
      </c>
      <c r="G9" s="2">
        <v>100</v>
      </c>
      <c r="H9" s="2">
        <v>94</v>
      </c>
      <c r="I9" s="13">
        <f>SUM(E9:H9)</f>
        <v>374</v>
      </c>
      <c r="J9" s="13">
        <f>AVERAGE(E9:H9)</f>
        <v>93.5</v>
      </c>
      <c r="K9" s="13">
        <f>MAX(E9:H9)</f>
        <v>100</v>
      </c>
      <c r="L9" s="13">
        <f>MIN(E9:H9)</f>
        <v>86</v>
      </c>
      <c r="M9" s="13" t="str">
        <f t="shared" si="0"/>
        <v>Dhana Sai</v>
      </c>
      <c r="N9" t="str">
        <f t="shared" si="1"/>
        <v>Pass</v>
      </c>
    </row>
    <row r="10" spans="1:14" x14ac:dyDescent="0.3">
      <c r="A10" s="2">
        <v>20</v>
      </c>
      <c r="B10" s="2" t="s">
        <v>39</v>
      </c>
      <c r="C10" s="2" t="s">
        <v>23</v>
      </c>
      <c r="D10" s="8">
        <v>37069</v>
      </c>
      <c r="E10" s="2">
        <v>90</v>
      </c>
      <c r="F10" s="2">
        <v>92</v>
      </c>
      <c r="G10" s="2">
        <v>89</v>
      </c>
      <c r="H10" s="2">
        <v>91</v>
      </c>
      <c r="I10" s="13">
        <f>SUM(E10:H10)</f>
        <v>362</v>
      </c>
      <c r="J10" s="13">
        <f>AVERAGE(E10:H10)</f>
        <v>90.5</v>
      </c>
      <c r="K10" s="13">
        <f>MAX(E10:H10)</f>
        <v>92</v>
      </c>
      <c r="L10" s="13">
        <f>MIN(E10:H10)</f>
        <v>89</v>
      </c>
      <c r="M10" s="13" t="str">
        <f t="shared" si="0"/>
        <v>Divya Rao</v>
      </c>
      <c r="N10" t="str">
        <f t="shared" si="1"/>
        <v>Pass</v>
      </c>
    </row>
    <row r="11" spans="1:14" x14ac:dyDescent="0.3">
      <c r="A11" s="2">
        <v>3</v>
      </c>
      <c r="B11" s="2" t="s">
        <v>12</v>
      </c>
      <c r="C11" s="2" t="s">
        <v>13</v>
      </c>
      <c r="D11" s="8">
        <v>38216</v>
      </c>
      <c r="E11" s="2">
        <v>92</v>
      </c>
      <c r="F11" s="2">
        <v>88</v>
      </c>
      <c r="G11" s="2">
        <v>90</v>
      </c>
      <c r="H11" s="2">
        <v>92</v>
      </c>
      <c r="I11" s="13">
        <f>SUM(E11:H11)</f>
        <v>362</v>
      </c>
      <c r="J11" s="13">
        <f>AVERAGE(E11:H11)</f>
        <v>90.5</v>
      </c>
      <c r="K11" s="13">
        <f>MAX(E11:H11)</f>
        <v>92</v>
      </c>
      <c r="L11" s="13">
        <f>MIN(E11:H11)</f>
        <v>88</v>
      </c>
      <c r="M11" s="13" t="str">
        <f t="shared" si="0"/>
        <v>Sai Krishna</v>
      </c>
      <c r="N11" t="str">
        <f t="shared" si="1"/>
        <v>Pass</v>
      </c>
    </row>
    <row r="12" spans="1:14" x14ac:dyDescent="0.3">
      <c r="A12" s="2">
        <v>22</v>
      </c>
      <c r="B12" s="2" t="s">
        <v>41</v>
      </c>
      <c r="C12" s="2" t="s">
        <v>11</v>
      </c>
      <c r="D12" s="8">
        <v>37841</v>
      </c>
      <c r="E12" s="2">
        <v>91</v>
      </c>
      <c r="F12" s="2">
        <v>90</v>
      </c>
      <c r="G12" s="2">
        <v>92</v>
      </c>
      <c r="H12" s="2">
        <v>89</v>
      </c>
      <c r="I12" s="13">
        <f>SUM(E12:H12)</f>
        <v>362</v>
      </c>
      <c r="J12" s="13">
        <f>AVERAGE(E12:H12)</f>
        <v>90.5</v>
      </c>
      <c r="K12" s="13">
        <f>MAX(E12:H12)</f>
        <v>92</v>
      </c>
      <c r="L12" s="13">
        <f>MIN(E12:H12)</f>
        <v>89</v>
      </c>
      <c r="M12" s="13" t="str">
        <f t="shared" si="0"/>
        <v>Swathi Reddy</v>
      </c>
      <c r="N12" t="str">
        <f t="shared" si="1"/>
        <v>Pass</v>
      </c>
    </row>
    <row r="13" spans="1:14" x14ac:dyDescent="0.3">
      <c r="A13" s="2">
        <v>12</v>
      </c>
      <c r="B13" s="2" t="s">
        <v>26</v>
      </c>
      <c r="C13" s="2" t="s">
        <v>27</v>
      </c>
      <c r="D13" s="8">
        <v>37508</v>
      </c>
      <c r="E13" s="2">
        <v>89</v>
      </c>
      <c r="F13" s="2">
        <v>91</v>
      </c>
      <c r="G13" s="2">
        <v>88</v>
      </c>
      <c r="H13" s="2">
        <v>90</v>
      </c>
      <c r="I13" s="13">
        <f>SUM(E13:H13)</f>
        <v>358</v>
      </c>
      <c r="J13" s="13">
        <f>AVERAGE(E13:H13)</f>
        <v>89.5</v>
      </c>
      <c r="K13" s="13">
        <f>MAX(E13:H13)</f>
        <v>91</v>
      </c>
      <c r="L13" s="13">
        <f>MIN(E13:H13)</f>
        <v>88</v>
      </c>
      <c r="M13" s="13" t="str">
        <f t="shared" si="0"/>
        <v>Sneha Patel</v>
      </c>
      <c r="N13" t="str">
        <f t="shared" si="1"/>
        <v>Pass</v>
      </c>
    </row>
    <row r="14" spans="1:14" x14ac:dyDescent="0.3">
      <c r="A14" s="2">
        <v>7</v>
      </c>
      <c r="B14" s="2" t="s">
        <v>17</v>
      </c>
      <c r="C14" s="2" t="s">
        <v>18</v>
      </c>
      <c r="D14" s="8">
        <v>37685</v>
      </c>
      <c r="E14" s="2">
        <v>88</v>
      </c>
      <c r="F14" s="2">
        <v>90</v>
      </c>
      <c r="G14" s="2">
        <v>84</v>
      </c>
      <c r="H14" s="2">
        <v>89</v>
      </c>
      <c r="I14" s="13">
        <f>SUM(E14:H14)</f>
        <v>351</v>
      </c>
      <c r="J14" s="13">
        <f>AVERAGE(E14:H14)</f>
        <v>87.75</v>
      </c>
      <c r="K14" s="13">
        <f>MAX(E14:H14)</f>
        <v>90</v>
      </c>
      <c r="L14" s="13">
        <f>MIN(E14:H14)</f>
        <v>84</v>
      </c>
      <c r="M14" s="13" t="str">
        <f t="shared" si="0"/>
        <v>Priya Sharma</v>
      </c>
      <c r="N14" t="str">
        <f t="shared" si="1"/>
        <v>Pass</v>
      </c>
    </row>
    <row r="15" spans="1:14" x14ac:dyDescent="0.3">
      <c r="A15" s="2">
        <v>2</v>
      </c>
      <c r="B15" s="2" t="s">
        <v>10</v>
      </c>
      <c r="C15" s="2" t="s">
        <v>11</v>
      </c>
      <c r="D15" s="8">
        <v>38534</v>
      </c>
      <c r="E15" s="2">
        <v>91</v>
      </c>
      <c r="F15" s="2">
        <v>89</v>
      </c>
      <c r="G15" s="2">
        <v>78</v>
      </c>
      <c r="H15" s="2">
        <v>91</v>
      </c>
      <c r="I15" s="13">
        <f>SUM(E15:H15)</f>
        <v>349</v>
      </c>
      <c r="J15" s="13">
        <f>AVERAGE(E15:H15)</f>
        <v>87.25</v>
      </c>
      <c r="K15" s="13">
        <f>MAX(E15:H15)</f>
        <v>91</v>
      </c>
      <c r="L15" s="13">
        <f>MIN(E15:H15)</f>
        <v>78</v>
      </c>
      <c r="M15" s="13" t="str">
        <f t="shared" si="0"/>
        <v>Sowjanya Reddy</v>
      </c>
      <c r="N15" t="str">
        <f t="shared" si="1"/>
        <v>Pass</v>
      </c>
    </row>
    <row r="16" spans="1:14" x14ac:dyDescent="0.3">
      <c r="A16" s="2">
        <v>16</v>
      </c>
      <c r="B16" s="2" t="s">
        <v>33</v>
      </c>
      <c r="C16" s="2" t="s">
        <v>34</v>
      </c>
      <c r="D16" s="8">
        <v>36898</v>
      </c>
      <c r="E16" s="2">
        <v>87</v>
      </c>
      <c r="F16" s="2">
        <v>85</v>
      </c>
      <c r="G16" s="2">
        <v>82</v>
      </c>
      <c r="H16" s="2">
        <v>88</v>
      </c>
      <c r="I16" s="13">
        <f>SUM(E16:H16)</f>
        <v>342</v>
      </c>
      <c r="J16" s="13">
        <f>AVERAGE(E16:H16)</f>
        <v>85.5</v>
      </c>
      <c r="K16" s="13">
        <f>MAX(E16:H16)</f>
        <v>88</v>
      </c>
      <c r="L16" s="13">
        <f>MIN(E16:H16)</f>
        <v>82</v>
      </c>
      <c r="M16" s="13" t="str">
        <f t="shared" si="0"/>
        <v>Pooja Verma</v>
      </c>
      <c r="N16" t="str">
        <f t="shared" si="1"/>
        <v>Pass</v>
      </c>
    </row>
    <row r="17" spans="1:14" x14ac:dyDescent="0.3">
      <c r="A17" s="2">
        <v>4</v>
      </c>
      <c r="B17" s="2" t="s">
        <v>51</v>
      </c>
      <c r="C17" s="2" t="s">
        <v>14</v>
      </c>
      <c r="D17" s="8">
        <v>37190</v>
      </c>
      <c r="E17" s="2">
        <v>93</v>
      </c>
      <c r="F17" s="2">
        <v>87</v>
      </c>
      <c r="G17" s="2">
        <v>59</v>
      </c>
      <c r="H17" s="2">
        <v>93</v>
      </c>
      <c r="I17" s="13">
        <f>SUM(E17:H17)</f>
        <v>332</v>
      </c>
      <c r="J17" s="13">
        <f>AVERAGE(E17:H17)</f>
        <v>83</v>
      </c>
      <c r="K17" s="13">
        <f>MAX(E17:H17)</f>
        <v>93</v>
      </c>
      <c r="L17" s="13">
        <f>MIN(E17:H17)</f>
        <v>59</v>
      </c>
      <c r="M17" s="13" t="str">
        <f t="shared" si="0"/>
        <v>Sana Naidu</v>
      </c>
      <c r="N17" t="str">
        <f t="shared" si="1"/>
        <v>Pass</v>
      </c>
    </row>
    <row r="18" spans="1:14" x14ac:dyDescent="0.3">
      <c r="A18" s="2">
        <v>25</v>
      </c>
      <c r="B18" s="2" t="s">
        <v>44</v>
      </c>
      <c r="C18" s="2" t="s">
        <v>9</v>
      </c>
      <c r="D18" s="8">
        <v>37954</v>
      </c>
      <c r="E18" s="2">
        <v>81</v>
      </c>
      <c r="F18" s="2">
        <v>83</v>
      </c>
      <c r="G18" s="2">
        <v>85</v>
      </c>
      <c r="H18" s="2">
        <v>82</v>
      </c>
      <c r="I18" s="13">
        <f>SUM(E18:H18)</f>
        <v>331</v>
      </c>
      <c r="J18" s="13">
        <f>AVERAGE(E18:H18)</f>
        <v>82.75</v>
      </c>
      <c r="K18" s="13">
        <f>MAX(E18:H18)</f>
        <v>85</v>
      </c>
      <c r="L18" s="13">
        <f>MIN(E18:H18)</f>
        <v>81</v>
      </c>
      <c r="M18" s="13" t="str">
        <f t="shared" si="0"/>
        <v>Teja Kumar</v>
      </c>
      <c r="N18" t="str">
        <f t="shared" si="1"/>
        <v>Pass</v>
      </c>
    </row>
    <row r="19" spans="1:14" x14ac:dyDescent="0.3">
      <c r="A19" s="2">
        <v>21</v>
      </c>
      <c r="B19" s="2" t="s">
        <v>40</v>
      </c>
      <c r="C19" s="2" t="s">
        <v>29</v>
      </c>
      <c r="D19" s="8">
        <v>37450</v>
      </c>
      <c r="E19" s="2">
        <v>84</v>
      </c>
      <c r="F19" s="2">
        <v>82</v>
      </c>
      <c r="G19" s="2">
        <v>81</v>
      </c>
      <c r="H19" s="2">
        <v>83</v>
      </c>
      <c r="I19" s="13">
        <f>SUM(E19:H19)</f>
        <v>330</v>
      </c>
      <c r="J19" s="13">
        <f>AVERAGE(E19:H19)</f>
        <v>82.5</v>
      </c>
      <c r="K19" s="13">
        <f>MAX(E19:H19)</f>
        <v>84</v>
      </c>
      <c r="L19" s="13">
        <f>MIN(E19:H19)</f>
        <v>81</v>
      </c>
      <c r="M19" s="13" t="str">
        <f t="shared" si="0"/>
        <v>Manoj Singh</v>
      </c>
      <c r="N19" t="str">
        <f t="shared" si="1"/>
        <v>Pass</v>
      </c>
    </row>
    <row r="20" spans="1:14" x14ac:dyDescent="0.3">
      <c r="A20" s="2">
        <v>10</v>
      </c>
      <c r="B20" s="2" t="s">
        <v>22</v>
      </c>
      <c r="C20" s="2" t="s">
        <v>23</v>
      </c>
      <c r="D20" s="8">
        <v>37802</v>
      </c>
      <c r="E20" s="2">
        <v>82</v>
      </c>
      <c r="F20" s="2">
        <v>79</v>
      </c>
      <c r="G20" s="2">
        <v>86</v>
      </c>
      <c r="H20" s="2">
        <v>81</v>
      </c>
      <c r="I20" s="13">
        <f>SUM(E20:H20)</f>
        <v>328</v>
      </c>
      <c r="J20" s="13">
        <f>AVERAGE(E20:H20)</f>
        <v>82</v>
      </c>
      <c r="K20" s="13">
        <f>MAX(E20:H20)</f>
        <v>86</v>
      </c>
      <c r="L20" s="13">
        <f>MIN(E20:H20)</f>
        <v>79</v>
      </c>
      <c r="M20" s="13" t="str">
        <f t="shared" si="0"/>
        <v>Arjun Rao</v>
      </c>
      <c r="N20" t="str">
        <f t="shared" si="1"/>
        <v>Pass</v>
      </c>
    </row>
    <row r="21" spans="1:14" x14ac:dyDescent="0.3">
      <c r="A21" s="2">
        <v>1</v>
      </c>
      <c r="B21" s="2" t="s">
        <v>8</v>
      </c>
      <c r="C21" s="2" t="s">
        <v>9</v>
      </c>
      <c r="D21" s="8">
        <v>36568</v>
      </c>
      <c r="E21" s="2">
        <v>90</v>
      </c>
      <c r="F21" s="2">
        <v>80</v>
      </c>
      <c r="G21" s="2">
        <v>68</v>
      </c>
      <c r="H21" s="2">
        <v>90</v>
      </c>
      <c r="I21" s="13">
        <f>SUM(E21:H21)</f>
        <v>328</v>
      </c>
      <c r="J21" s="13">
        <f>AVERAGE(E21:H21)</f>
        <v>82</v>
      </c>
      <c r="K21" s="13">
        <f>MAX(E21:H21)</f>
        <v>90</v>
      </c>
      <c r="L21" s="13">
        <f>MIN(E21:H21)</f>
        <v>68</v>
      </c>
      <c r="M21" s="13" t="str">
        <f t="shared" si="0"/>
        <v>Mahesh Kumar</v>
      </c>
      <c r="N21" t="str">
        <f t="shared" si="1"/>
        <v>Pass</v>
      </c>
    </row>
    <row r="22" spans="1:14" x14ac:dyDescent="0.3">
      <c r="A22" s="2">
        <v>13</v>
      </c>
      <c r="B22" s="2" t="s">
        <v>28</v>
      </c>
      <c r="C22" s="2" t="s">
        <v>29</v>
      </c>
      <c r="D22" s="8">
        <v>36814</v>
      </c>
      <c r="E22" s="2">
        <v>83</v>
      </c>
      <c r="F22" s="2">
        <v>80</v>
      </c>
      <c r="G22" s="2">
        <v>79</v>
      </c>
      <c r="H22" s="2">
        <v>84</v>
      </c>
      <c r="I22" s="13">
        <f>SUM(E22:H22)</f>
        <v>326</v>
      </c>
      <c r="J22" s="13">
        <f>AVERAGE(E22:H22)</f>
        <v>81.5</v>
      </c>
      <c r="K22" s="13">
        <f>MAX(E22:H22)</f>
        <v>84</v>
      </c>
      <c r="L22" s="13">
        <f>MIN(E22:H22)</f>
        <v>79</v>
      </c>
      <c r="M22" s="13" t="str">
        <f t="shared" si="0"/>
        <v>Rohit Singh</v>
      </c>
      <c r="N22" t="str">
        <f t="shared" si="1"/>
        <v>Pass</v>
      </c>
    </row>
    <row r="23" spans="1:14" x14ac:dyDescent="0.3">
      <c r="A23" s="2">
        <v>17</v>
      </c>
      <c r="B23" s="2" t="s">
        <v>35</v>
      </c>
      <c r="C23" s="2" t="s">
        <v>11</v>
      </c>
      <c r="D23" s="8">
        <v>38062</v>
      </c>
      <c r="E23" s="2">
        <v>79</v>
      </c>
      <c r="F23" s="2">
        <v>81</v>
      </c>
      <c r="G23" s="2">
        <v>83</v>
      </c>
      <c r="H23" s="2">
        <v>80</v>
      </c>
      <c r="I23" s="13">
        <f>SUM(E23:H23)</f>
        <v>323</v>
      </c>
      <c r="J23" s="13">
        <f>AVERAGE(E23:H23)</f>
        <v>80.75</v>
      </c>
      <c r="K23" s="13">
        <f>MAX(E23:H23)</f>
        <v>83</v>
      </c>
      <c r="L23" s="13">
        <f>MIN(E23:H23)</f>
        <v>79</v>
      </c>
      <c r="M23" s="13" t="str">
        <f t="shared" si="0"/>
        <v>Vivek Reddy</v>
      </c>
      <c r="N23" t="str">
        <f t="shared" si="1"/>
        <v>Pass</v>
      </c>
    </row>
    <row r="24" spans="1:14" x14ac:dyDescent="0.3">
      <c r="A24" s="2">
        <v>6</v>
      </c>
      <c r="B24" s="2" t="s">
        <v>16</v>
      </c>
      <c r="C24" s="2" t="s">
        <v>9</v>
      </c>
      <c r="D24" s="8">
        <v>37270</v>
      </c>
      <c r="E24" s="2">
        <v>78</v>
      </c>
      <c r="F24" s="2">
        <v>82</v>
      </c>
      <c r="G24" s="2">
        <v>75</v>
      </c>
      <c r="H24" s="2">
        <v>80</v>
      </c>
      <c r="I24" s="13">
        <f>SUM(E24:H24)</f>
        <v>315</v>
      </c>
      <c r="J24" s="13">
        <f>AVERAGE(E24:H24)</f>
        <v>78.75</v>
      </c>
      <c r="K24" s="13">
        <f>MAX(E24:H24)</f>
        <v>82</v>
      </c>
      <c r="L24" s="13">
        <f>MIN(E24:H24)</f>
        <v>75</v>
      </c>
      <c r="M24" s="13" t="str">
        <f t="shared" si="0"/>
        <v>Rahul Kumar</v>
      </c>
      <c r="N24" t="str">
        <f t="shared" si="1"/>
        <v>Pass</v>
      </c>
    </row>
    <row r="25" spans="1:14" x14ac:dyDescent="0.3">
      <c r="A25" s="2">
        <v>23</v>
      </c>
      <c r="B25" s="2" t="s">
        <v>42</v>
      </c>
      <c r="C25" s="2" t="s">
        <v>27</v>
      </c>
      <c r="D25" s="8">
        <v>37156</v>
      </c>
      <c r="E25" s="2">
        <v>76</v>
      </c>
      <c r="F25" s="2">
        <v>74</v>
      </c>
      <c r="G25" s="2">
        <v>78</v>
      </c>
      <c r="H25" s="2">
        <v>77</v>
      </c>
      <c r="I25" s="13">
        <f>SUM(E25:H25)</f>
        <v>305</v>
      </c>
      <c r="J25" s="13">
        <f>AVERAGE(E25:H25)</f>
        <v>76.25</v>
      </c>
      <c r="K25" s="13">
        <f>MAX(E25:H25)</f>
        <v>78</v>
      </c>
      <c r="L25" s="13">
        <f>MIN(E25:H25)</f>
        <v>74</v>
      </c>
      <c r="M25" s="13" t="str">
        <f t="shared" si="0"/>
        <v>Akash Patel</v>
      </c>
      <c r="N25" t="str">
        <f t="shared" si="1"/>
        <v>Pass</v>
      </c>
    </row>
    <row r="26" spans="1:14" x14ac:dyDescent="0.3">
      <c r="A26" s="2">
        <v>11</v>
      </c>
      <c r="B26" s="2" t="s">
        <v>24</v>
      </c>
      <c r="C26" s="2" t="s">
        <v>25</v>
      </c>
      <c r="D26" s="8">
        <v>37121</v>
      </c>
      <c r="E26" s="2">
        <v>74</v>
      </c>
      <c r="F26" s="2">
        <v>77</v>
      </c>
      <c r="G26" s="2">
        <v>73</v>
      </c>
      <c r="H26" s="2">
        <v>76</v>
      </c>
      <c r="I26" s="13">
        <f>SUM(E26:H26)</f>
        <v>300</v>
      </c>
      <c r="J26" s="13">
        <f>AVERAGE(E26:H26)</f>
        <v>75</v>
      </c>
      <c r="K26" s="13">
        <f>MAX(E26:H26)</f>
        <v>77</v>
      </c>
      <c r="L26" s="13">
        <f>MIN(E26:H26)</f>
        <v>73</v>
      </c>
      <c r="M26" s="13" t="str">
        <f t="shared" si="0"/>
        <v>Nikhil Varma</v>
      </c>
      <c r="N26" t="str">
        <f t="shared" si="1"/>
        <v>Pass</v>
      </c>
    </row>
    <row r="27" spans="1:14" x14ac:dyDescent="0.3">
      <c r="A27" s="2">
        <v>19</v>
      </c>
      <c r="B27" s="2" t="s">
        <v>38</v>
      </c>
      <c r="C27" s="2" t="s">
        <v>9</v>
      </c>
      <c r="D27" s="8">
        <v>37751</v>
      </c>
      <c r="E27" s="2">
        <v>72</v>
      </c>
      <c r="F27" s="2">
        <v>75</v>
      </c>
      <c r="G27" s="2">
        <v>70</v>
      </c>
      <c r="H27" s="2">
        <v>73</v>
      </c>
      <c r="I27" s="13">
        <f>SUM(E27:H27)</f>
        <v>290</v>
      </c>
      <c r="J27" s="13">
        <f>AVERAGE(E27:H27)</f>
        <v>72.5</v>
      </c>
      <c r="K27" s="13">
        <f>MAX(E27:H27)</f>
        <v>75</v>
      </c>
      <c r="L27" s="13">
        <f>MIN(E27:H27)</f>
        <v>70</v>
      </c>
      <c r="M27" s="13" t="str">
        <f t="shared" si="0"/>
        <v>Ajay Kumar</v>
      </c>
      <c r="N27" t="str">
        <f t="shared" si="1"/>
        <v>Pass</v>
      </c>
    </row>
    <row r="28" spans="1:14" x14ac:dyDescent="0.3">
      <c r="A28" s="2">
        <v>15</v>
      </c>
      <c r="B28" s="2" t="s">
        <v>32</v>
      </c>
      <c r="C28" s="2" t="s">
        <v>9</v>
      </c>
      <c r="D28" s="8">
        <v>37289</v>
      </c>
      <c r="E28" s="2">
        <v>69</v>
      </c>
      <c r="F28" s="2">
        <v>71</v>
      </c>
      <c r="G28" s="2">
        <v>74</v>
      </c>
      <c r="H28" s="2">
        <v>70</v>
      </c>
      <c r="I28" s="13">
        <f>SUM(E28:H28)</f>
        <v>284</v>
      </c>
      <c r="J28" s="13">
        <f>AVERAGE(E28:H28)</f>
        <v>71</v>
      </c>
      <c r="K28" s="13">
        <f>MAX(E28:H28)</f>
        <v>74</v>
      </c>
      <c r="L28" s="13">
        <f>MIN(E28:H28)</f>
        <v>69</v>
      </c>
      <c r="M28" s="13" t="str">
        <f t="shared" si="0"/>
        <v>Harsha Kumar</v>
      </c>
      <c r="N28" t="str">
        <f t="shared" si="1"/>
        <v>Pass</v>
      </c>
    </row>
    <row r="29" spans="1:14" x14ac:dyDescent="0.3">
      <c r="A29" s="2">
        <v>8</v>
      </c>
      <c r="B29" s="2" t="s">
        <v>19</v>
      </c>
      <c r="C29" s="2" t="s">
        <v>11</v>
      </c>
      <c r="D29" s="8">
        <v>37000</v>
      </c>
      <c r="E29" s="2">
        <v>65</v>
      </c>
      <c r="F29" s="2">
        <v>72</v>
      </c>
      <c r="G29" s="2">
        <v>70</v>
      </c>
      <c r="H29" s="2">
        <v>68</v>
      </c>
      <c r="I29" s="13">
        <f>SUM(E29:H29)</f>
        <v>275</v>
      </c>
      <c r="J29" s="13">
        <f>AVERAGE(E29:H29)</f>
        <v>68.75</v>
      </c>
      <c r="K29" s="13">
        <f>MAX(E29:H29)</f>
        <v>72</v>
      </c>
      <c r="L29" s="13">
        <f>MIN(E29:H29)</f>
        <v>65</v>
      </c>
      <c r="M29" s="13" t="str">
        <f t="shared" si="0"/>
        <v>Kiran Reddy</v>
      </c>
      <c r="N29" t="str">
        <f t="shared" si="1"/>
        <v>Pass</v>
      </c>
    </row>
  </sheetData>
  <sortState xmlns:xlrd2="http://schemas.microsoft.com/office/spreadsheetml/2017/richdata2" ref="A5:M29">
    <sortCondition descending="1" ref="J5:J29"/>
    <sortCondition ref="B5:B29"/>
  </sortState>
  <mergeCells count="2">
    <mergeCell ref="A1:H1"/>
    <mergeCell ref="A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D81D-048E-4C33-A03C-DBA089F6F505}">
  <sheetPr filterMode="1"/>
  <dimension ref="A1:M47"/>
  <sheetViews>
    <sheetView topLeftCell="A27" workbookViewId="0">
      <selection activeCell="M36" sqref="M36:M47"/>
    </sheetView>
  </sheetViews>
  <sheetFormatPr defaultRowHeight="14.4" x14ac:dyDescent="0.3"/>
  <cols>
    <col min="4" max="4" width="16.77734375" style="9" bestFit="1" customWidth="1"/>
    <col min="10" max="10" width="12.88671875" customWidth="1"/>
    <col min="11" max="11" width="12.21875" customWidth="1"/>
    <col min="12" max="12" width="13.33203125" customWidth="1"/>
    <col min="13" max="13" width="22.21875" customWidth="1"/>
  </cols>
  <sheetData>
    <row r="1" spans="1:13" ht="24" x14ac:dyDescent="0.6">
      <c r="A1" s="16" t="s">
        <v>53</v>
      </c>
      <c r="B1" s="16"/>
      <c r="C1" s="16"/>
      <c r="D1" s="16"/>
      <c r="E1" s="16"/>
    </row>
    <row r="3" spans="1:13" ht="23.4" x14ac:dyDescent="0.45">
      <c r="A3" s="1" t="s">
        <v>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8.8" x14ac:dyDescent="0.3">
      <c r="A4" s="3" t="s">
        <v>0</v>
      </c>
      <c r="B4" s="3" t="s">
        <v>1</v>
      </c>
      <c r="C4" s="3" t="s">
        <v>2</v>
      </c>
      <c r="D4" s="7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</row>
    <row r="5" spans="1:13" hidden="1" x14ac:dyDescent="0.3">
      <c r="A5" s="2">
        <v>18</v>
      </c>
      <c r="B5" s="2" t="s">
        <v>36</v>
      </c>
      <c r="C5" s="2" t="s">
        <v>37</v>
      </c>
      <c r="D5" s="8">
        <v>37369</v>
      </c>
      <c r="E5" s="2">
        <v>98</v>
      </c>
      <c r="F5" s="2">
        <v>95</v>
      </c>
      <c r="G5" s="2">
        <v>97</v>
      </c>
      <c r="H5" s="2">
        <v>96</v>
      </c>
      <c r="I5" s="13">
        <f>SUM(E5:H5)</f>
        <v>386</v>
      </c>
      <c r="J5" s="13">
        <f>AVERAGE(E5:H5)</f>
        <v>96.5</v>
      </c>
      <c r="K5" s="13">
        <f>MAX(E5:H5)</f>
        <v>98</v>
      </c>
      <c r="L5" s="13">
        <f>MIN(E5:H5)</f>
        <v>95</v>
      </c>
      <c r="M5" s="13" t="str">
        <f>_xlfn.CONCAT(B5:C5)</f>
        <v>KavyaNair</v>
      </c>
    </row>
    <row r="6" spans="1:13" hidden="1" x14ac:dyDescent="0.3">
      <c r="A6" s="2">
        <v>14</v>
      </c>
      <c r="B6" s="2" t="s">
        <v>30</v>
      </c>
      <c r="C6" s="2" t="s">
        <v>31</v>
      </c>
      <c r="D6" s="8">
        <v>37980</v>
      </c>
      <c r="E6" s="2">
        <v>95</v>
      </c>
      <c r="F6" s="2">
        <v>96</v>
      </c>
      <c r="G6" s="2">
        <v>94</v>
      </c>
      <c r="H6" s="2">
        <v>97</v>
      </c>
      <c r="I6" s="13">
        <f>SUM(E6:H6)</f>
        <v>382</v>
      </c>
      <c r="J6" s="13">
        <f>AVERAGE(E6:H6)</f>
        <v>95.5</v>
      </c>
      <c r="K6" s="13">
        <f>MAX(E6:H6)</f>
        <v>97</v>
      </c>
      <c r="L6" s="13">
        <f>MIN(E6:H6)</f>
        <v>94</v>
      </c>
      <c r="M6" s="13" t="str">
        <f>_xlfn.CONCAT(B6:C6)</f>
        <v>DeepikaRani</v>
      </c>
    </row>
    <row r="7" spans="1:13" hidden="1" x14ac:dyDescent="0.3">
      <c r="A7" s="2">
        <v>9</v>
      </c>
      <c r="B7" s="2" t="s">
        <v>20</v>
      </c>
      <c r="C7" s="2" t="s">
        <v>21</v>
      </c>
      <c r="D7" s="8">
        <v>37571</v>
      </c>
      <c r="E7" s="2">
        <v>96</v>
      </c>
      <c r="F7" s="2">
        <v>94</v>
      </c>
      <c r="G7" s="2">
        <v>91</v>
      </c>
      <c r="H7" s="2">
        <v>95</v>
      </c>
      <c r="I7" s="13">
        <f>SUM(E7:H7)</f>
        <v>376</v>
      </c>
      <c r="J7" s="13">
        <f>AVERAGE(E7:H7)</f>
        <v>94</v>
      </c>
      <c r="K7" s="13">
        <f>MAX(E7:H7)</f>
        <v>96</v>
      </c>
      <c r="L7" s="13">
        <f>MIN(E7:H7)</f>
        <v>91</v>
      </c>
      <c r="M7" s="13" t="str">
        <f>_xlfn.CONCAT(B7:C7)</f>
        <v>AnjaliDevi</v>
      </c>
    </row>
    <row r="8" spans="1:13" hidden="1" x14ac:dyDescent="0.3">
      <c r="A8" s="2">
        <v>24</v>
      </c>
      <c r="B8" s="2" t="s">
        <v>43</v>
      </c>
      <c r="C8" s="2" t="s">
        <v>18</v>
      </c>
      <c r="D8" s="8">
        <v>37546</v>
      </c>
      <c r="E8" s="2">
        <v>93</v>
      </c>
      <c r="F8" s="2">
        <v>94</v>
      </c>
      <c r="G8" s="2">
        <v>95</v>
      </c>
      <c r="H8" s="2">
        <v>92</v>
      </c>
      <c r="I8" s="13">
        <f>SUM(E8:H8)</f>
        <v>374</v>
      </c>
      <c r="J8" s="13">
        <f>AVERAGE(E8:H8)</f>
        <v>93.5</v>
      </c>
      <c r="K8" s="13">
        <f>MAX(E8:H8)</f>
        <v>95</v>
      </c>
      <c r="L8" s="13">
        <f>MIN(E8:H8)</f>
        <v>92</v>
      </c>
      <c r="M8" s="13" t="str">
        <f>_xlfn.CONCAT(B8:C8)</f>
        <v>BhavanaSharma</v>
      </c>
    </row>
    <row r="9" spans="1:13" hidden="1" x14ac:dyDescent="0.3">
      <c r="A9" s="2">
        <v>5</v>
      </c>
      <c r="B9" s="2" t="s">
        <v>15</v>
      </c>
      <c r="C9" s="2" t="s">
        <v>12</v>
      </c>
      <c r="D9" s="8">
        <v>38128</v>
      </c>
      <c r="E9" s="2">
        <v>94</v>
      </c>
      <c r="F9" s="2">
        <v>86</v>
      </c>
      <c r="G9" s="2">
        <v>100</v>
      </c>
      <c r="H9" s="2">
        <v>94</v>
      </c>
      <c r="I9" s="13">
        <f>SUM(E9:H9)</f>
        <v>374</v>
      </c>
      <c r="J9" s="13">
        <f>AVERAGE(E9:H9)</f>
        <v>93.5</v>
      </c>
      <c r="K9" s="13">
        <f>MAX(E9:H9)</f>
        <v>100</v>
      </c>
      <c r="L9" s="13">
        <f>MIN(E9:H9)</f>
        <v>86</v>
      </c>
      <c r="M9" s="13" t="str">
        <f>_xlfn.CONCAT(B9:C9)</f>
        <v>DhanaSai</v>
      </c>
    </row>
    <row r="10" spans="1:13" hidden="1" x14ac:dyDescent="0.3">
      <c r="A10" s="2">
        <v>20</v>
      </c>
      <c r="B10" s="2" t="s">
        <v>39</v>
      </c>
      <c r="C10" s="2" t="s">
        <v>23</v>
      </c>
      <c r="D10" s="8">
        <v>37069</v>
      </c>
      <c r="E10" s="2">
        <v>90</v>
      </c>
      <c r="F10" s="2">
        <v>92</v>
      </c>
      <c r="G10" s="2">
        <v>89</v>
      </c>
      <c r="H10" s="2">
        <v>91</v>
      </c>
      <c r="I10" s="13">
        <f>SUM(E10:H10)</f>
        <v>362</v>
      </c>
      <c r="J10" s="13">
        <f>AVERAGE(E10:H10)</f>
        <v>90.5</v>
      </c>
      <c r="K10" s="13">
        <f>MAX(E10:H10)</f>
        <v>92</v>
      </c>
      <c r="L10" s="13">
        <f>MIN(E10:H10)</f>
        <v>89</v>
      </c>
      <c r="M10" s="13" t="str">
        <f>_xlfn.CONCAT(B10:C10)</f>
        <v>DivyaRao</v>
      </c>
    </row>
    <row r="11" spans="1:13" hidden="1" x14ac:dyDescent="0.3">
      <c r="A11" s="2">
        <v>3</v>
      </c>
      <c r="B11" s="2" t="s">
        <v>12</v>
      </c>
      <c r="C11" s="2" t="s">
        <v>13</v>
      </c>
      <c r="D11" s="8">
        <v>38216</v>
      </c>
      <c r="E11" s="2">
        <v>92</v>
      </c>
      <c r="F11" s="2">
        <v>88</v>
      </c>
      <c r="G11" s="2">
        <v>90</v>
      </c>
      <c r="H11" s="2">
        <v>92</v>
      </c>
      <c r="I11" s="13">
        <f>SUM(E11:H11)</f>
        <v>362</v>
      </c>
      <c r="J11" s="13">
        <f>AVERAGE(E11:H11)</f>
        <v>90.5</v>
      </c>
      <c r="K11" s="13">
        <f>MAX(E11:H11)</f>
        <v>92</v>
      </c>
      <c r="L11" s="13">
        <f>MIN(E11:H11)</f>
        <v>88</v>
      </c>
      <c r="M11" s="13" t="str">
        <f>_xlfn.CONCAT(B11:C11)</f>
        <v>SaiKrishna</v>
      </c>
    </row>
    <row r="12" spans="1:13" hidden="1" x14ac:dyDescent="0.3">
      <c r="A12" s="2">
        <v>22</v>
      </c>
      <c r="B12" s="2" t="s">
        <v>41</v>
      </c>
      <c r="C12" s="2" t="s">
        <v>11</v>
      </c>
      <c r="D12" s="8">
        <v>37841</v>
      </c>
      <c r="E12" s="2">
        <v>91</v>
      </c>
      <c r="F12" s="2">
        <v>90</v>
      </c>
      <c r="G12" s="2">
        <v>92</v>
      </c>
      <c r="H12" s="2">
        <v>89</v>
      </c>
      <c r="I12" s="13">
        <f>SUM(E12:H12)</f>
        <v>362</v>
      </c>
      <c r="J12" s="13">
        <f>AVERAGE(E12:H12)</f>
        <v>90.5</v>
      </c>
      <c r="K12" s="13">
        <f>MAX(E12:H12)</f>
        <v>92</v>
      </c>
      <c r="L12" s="13">
        <f>MIN(E12:H12)</f>
        <v>89</v>
      </c>
      <c r="M12" s="13" t="str">
        <f>_xlfn.CONCAT(B12:C12)</f>
        <v>SwathiReddy</v>
      </c>
    </row>
    <row r="13" spans="1:13" hidden="1" x14ac:dyDescent="0.3">
      <c r="A13" s="2">
        <v>12</v>
      </c>
      <c r="B13" s="2" t="s">
        <v>26</v>
      </c>
      <c r="C13" s="2" t="s">
        <v>27</v>
      </c>
      <c r="D13" s="8">
        <v>37508</v>
      </c>
      <c r="E13" s="2">
        <v>89</v>
      </c>
      <c r="F13" s="2">
        <v>91</v>
      </c>
      <c r="G13" s="2">
        <v>88</v>
      </c>
      <c r="H13" s="2">
        <v>90</v>
      </c>
      <c r="I13" s="13">
        <f>SUM(E13:H13)</f>
        <v>358</v>
      </c>
      <c r="J13" s="13">
        <f>AVERAGE(E13:H13)</f>
        <v>89.5</v>
      </c>
      <c r="K13" s="13">
        <f>MAX(E13:H13)</f>
        <v>91</v>
      </c>
      <c r="L13" s="13">
        <f>MIN(E13:H13)</f>
        <v>88</v>
      </c>
      <c r="M13" s="13" t="str">
        <f>_xlfn.CONCAT(B13:C13)</f>
        <v>SnehaPatel</v>
      </c>
    </row>
    <row r="14" spans="1:13" hidden="1" x14ac:dyDescent="0.3">
      <c r="A14" s="2">
        <v>7</v>
      </c>
      <c r="B14" s="2" t="s">
        <v>17</v>
      </c>
      <c r="C14" s="2" t="s">
        <v>18</v>
      </c>
      <c r="D14" s="8">
        <v>37685</v>
      </c>
      <c r="E14" s="2">
        <v>88</v>
      </c>
      <c r="F14" s="2">
        <v>90</v>
      </c>
      <c r="G14" s="2">
        <v>84</v>
      </c>
      <c r="H14" s="2">
        <v>89</v>
      </c>
      <c r="I14" s="13">
        <f>SUM(E14:H14)</f>
        <v>351</v>
      </c>
      <c r="J14" s="13">
        <f>AVERAGE(E14:H14)</f>
        <v>87.75</v>
      </c>
      <c r="K14" s="13">
        <f>MAX(E14:H14)</f>
        <v>90</v>
      </c>
      <c r="L14" s="13">
        <f>MIN(E14:H14)</f>
        <v>84</v>
      </c>
      <c r="M14" s="13" t="str">
        <f>_xlfn.CONCAT(B14:C14)</f>
        <v>PriyaSharma</v>
      </c>
    </row>
    <row r="15" spans="1:13" x14ac:dyDescent="0.3">
      <c r="A15" s="2">
        <v>2</v>
      </c>
      <c r="B15" s="2" t="s">
        <v>10</v>
      </c>
      <c r="C15" s="2" t="s">
        <v>11</v>
      </c>
      <c r="D15" s="8">
        <v>38534</v>
      </c>
      <c r="E15" s="2">
        <v>91</v>
      </c>
      <c r="F15" s="2">
        <v>89</v>
      </c>
      <c r="G15" s="2">
        <v>78</v>
      </c>
      <c r="H15" s="2">
        <v>91</v>
      </c>
      <c r="I15" s="13">
        <f>SUM(E15:H15)</f>
        <v>349</v>
      </c>
      <c r="J15" s="13">
        <f>AVERAGE(E15:H15)</f>
        <v>87.25</v>
      </c>
      <c r="K15" s="13">
        <f>MAX(E15:H15)</f>
        <v>91</v>
      </c>
      <c r="L15" s="13">
        <f>MIN(E15:H15)</f>
        <v>78</v>
      </c>
      <c r="M15" s="13" t="str">
        <f>_xlfn.CONCAT(B15," ",C15)</f>
        <v>Sowjanya Reddy</v>
      </c>
    </row>
    <row r="16" spans="1:13" hidden="1" x14ac:dyDescent="0.3">
      <c r="A16" s="2">
        <v>16</v>
      </c>
      <c r="B16" s="2" t="s">
        <v>33</v>
      </c>
      <c r="C16" s="2" t="s">
        <v>34</v>
      </c>
      <c r="D16" s="8">
        <v>36898</v>
      </c>
      <c r="E16" s="2">
        <v>87</v>
      </c>
      <c r="F16" s="2">
        <v>85</v>
      </c>
      <c r="G16" s="2">
        <v>82</v>
      </c>
      <c r="H16" s="2">
        <v>88</v>
      </c>
      <c r="I16" s="13">
        <f>SUM(E16:H16)</f>
        <v>342</v>
      </c>
      <c r="J16" s="13">
        <f>AVERAGE(E16:H16)</f>
        <v>85.5</v>
      </c>
      <c r="K16" s="13">
        <f>MAX(E16:H16)</f>
        <v>88</v>
      </c>
      <c r="L16" s="13">
        <f>MIN(E16:H16)</f>
        <v>82</v>
      </c>
      <c r="M16" s="13" t="str">
        <f>_xlfn.CONCAT(B16:C16)</f>
        <v>PoojaVerma</v>
      </c>
    </row>
    <row r="17" spans="1:13" x14ac:dyDescent="0.3">
      <c r="A17" s="2">
        <v>4</v>
      </c>
      <c r="B17" s="2" t="s">
        <v>51</v>
      </c>
      <c r="C17" s="2" t="s">
        <v>14</v>
      </c>
      <c r="D17" s="8">
        <v>37190</v>
      </c>
      <c r="E17" s="2">
        <v>93</v>
      </c>
      <c r="F17" s="2">
        <v>87</v>
      </c>
      <c r="G17" s="2">
        <v>59</v>
      </c>
      <c r="H17" s="2">
        <v>93</v>
      </c>
      <c r="I17" s="13">
        <f>SUM(E17:H17)</f>
        <v>332</v>
      </c>
      <c r="J17" s="13">
        <f>AVERAGE(E17:H17)</f>
        <v>83</v>
      </c>
      <c r="K17" s="13">
        <f>MAX(E17:H17)</f>
        <v>93</v>
      </c>
      <c r="L17" s="13">
        <f>MIN(E17:H17)</f>
        <v>59</v>
      </c>
      <c r="M17" s="13" t="str">
        <f>_xlfn.CONCAT(B17," ",C17)</f>
        <v>Sana Naidu</v>
      </c>
    </row>
    <row r="18" spans="1:13" hidden="1" x14ac:dyDescent="0.3">
      <c r="A18" s="2">
        <v>25</v>
      </c>
      <c r="B18" s="2" t="s">
        <v>44</v>
      </c>
      <c r="C18" s="2" t="s">
        <v>9</v>
      </c>
      <c r="D18" s="8">
        <v>37954</v>
      </c>
      <c r="E18" s="2">
        <v>81</v>
      </c>
      <c r="F18" s="2">
        <v>83</v>
      </c>
      <c r="G18" s="2">
        <v>85</v>
      </c>
      <c r="H18" s="2">
        <v>82</v>
      </c>
      <c r="I18" s="13">
        <f>SUM(E18:H18)</f>
        <v>331</v>
      </c>
      <c r="J18" s="13">
        <f>AVERAGE(E18:H18)</f>
        <v>82.75</v>
      </c>
      <c r="K18" s="13">
        <f>MAX(E18:H18)</f>
        <v>85</v>
      </c>
      <c r="L18" s="13">
        <f>MIN(E18:H18)</f>
        <v>81</v>
      </c>
      <c r="M18" s="13" t="str">
        <f>_xlfn.CONCAT(B18:C18)</f>
        <v>TejaKumar</v>
      </c>
    </row>
    <row r="19" spans="1:13" hidden="1" x14ac:dyDescent="0.3">
      <c r="A19" s="2">
        <v>21</v>
      </c>
      <c r="B19" s="2" t="s">
        <v>40</v>
      </c>
      <c r="C19" s="2" t="s">
        <v>29</v>
      </c>
      <c r="D19" s="8">
        <v>37450</v>
      </c>
      <c r="E19" s="2">
        <v>84</v>
      </c>
      <c r="F19" s="2">
        <v>82</v>
      </c>
      <c r="G19" s="2">
        <v>81</v>
      </c>
      <c r="H19" s="2">
        <v>83</v>
      </c>
      <c r="I19" s="13">
        <f>SUM(E19:H19)</f>
        <v>330</v>
      </c>
      <c r="J19" s="13">
        <f>AVERAGE(E19:H19)</f>
        <v>82.5</v>
      </c>
      <c r="K19" s="13">
        <f>MAX(E19:H19)</f>
        <v>84</v>
      </c>
      <c r="L19" s="13">
        <f>MIN(E19:H19)</f>
        <v>81</v>
      </c>
      <c r="M19" s="13" t="str">
        <f>_xlfn.CONCAT(B19:C19)</f>
        <v>ManojSingh</v>
      </c>
    </row>
    <row r="20" spans="1:13" hidden="1" x14ac:dyDescent="0.3">
      <c r="A20" s="2">
        <v>10</v>
      </c>
      <c r="B20" s="2" t="s">
        <v>22</v>
      </c>
      <c r="C20" s="2" t="s">
        <v>23</v>
      </c>
      <c r="D20" s="8">
        <v>37802</v>
      </c>
      <c r="E20" s="2">
        <v>82</v>
      </c>
      <c r="F20" s="2">
        <v>79</v>
      </c>
      <c r="G20" s="2">
        <v>86</v>
      </c>
      <c r="H20" s="2">
        <v>81</v>
      </c>
      <c r="I20" s="13">
        <f>SUM(E20:H20)</f>
        <v>328</v>
      </c>
      <c r="J20" s="13">
        <f>AVERAGE(E20:H20)</f>
        <v>82</v>
      </c>
      <c r="K20" s="13">
        <f>MAX(E20:H20)</f>
        <v>86</v>
      </c>
      <c r="L20" s="13">
        <f>MIN(E20:H20)</f>
        <v>79</v>
      </c>
      <c r="M20" s="13" t="str">
        <f>_xlfn.CONCAT(B20:C20)</f>
        <v>ArjunRao</v>
      </c>
    </row>
    <row r="21" spans="1:13" x14ac:dyDescent="0.3">
      <c r="A21" s="2">
        <v>1</v>
      </c>
      <c r="B21" s="2" t="s">
        <v>8</v>
      </c>
      <c r="C21" s="2" t="s">
        <v>9</v>
      </c>
      <c r="D21" s="8">
        <v>36568</v>
      </c>
      <c r="E21" s="2">
        <v>90</v>
      </c>
      <c r="F21" s="2">
        <v>80</v>
      </c>
      <c r="G21" s="2">
        <v>68</v>
      </c>
      <c r="H21" s="2">
        <v>90</v>
      </c>
      <c r="I21" s="13">
        <f>SUM(E21:H21)</f>
        <v>328</v>
      </c>
      <c r="J21" s="13">
        <f>AVERAGE(E21:H21)</f>
        <v>82</v>
      </c>
      <c r="K21" s="13">
        <f>MAX(E21:H21)</f>
        <v>90</v>
      </c>
      <c r="L21" s="13">
        <f>MIN(E21:H21)</f>
        <v>68</v>
      </c>
      <c r="M21" s="13" t="str">
        <f t="shared" ref="M21:M22" si="0">_xlfn.CONCAT(B21," ",C21)</f>
        <v>Mahesh Kumar</v>
      </c>
    </row>
    <row r="22" spans="1:13" x14ac:dyDescent="0.3">
      <c r="A22" s="2">
        <v>13</v>
      </c>
      <c r="B22" s="2" t="s">
        <v>28</v>
      </c>
      <c r="C22" s="2" t="s">
        <v>29</v>
      </c>
      <c r="D22" s="8">
        <v>36814</v>
      </c>
      <c r="E22" s="2">
        <v>83</v>
      </c>
      <c r="F22" s="2">
        <v>80</v>
      </c>
      <c r="G22" s="2">
        <v>79</v>
      </c>
      <c r="H22" s="2">
        <v>84</v>
      </c>
      <c r="I22" s="13">
        <f>SUM(E22:H22)</f>
        <v>326</v>
      </c>
      <c r="J22" s="13">
        <f>AVERAGE(E22:H22)</f>
        <v>81.5</v>
      </c>
      <c r="K22" s="13">
        <f>MAX(E22:H22)</f>
        <v>84</v>
      </c>
      <c r="L22" s="13">
        <f>MIN(E22:H22)</f>
        <v>79</v>
      </c>
      <c r="M22" s="13" t="str">
        <f t="shared" si="0"/>
        <v>Rohit Singh</v>
      </c>
    </row>
    <row r="23" spans="1:13" hidden="1" x14ac:dyDescent="0.3">
      <c r="A23" s="2">
        <v>17</v>
      </c>
      <c r="B23" s="2" t="s">
        <v>35</v>
      </c>
      <c r="C23" s="2" t="s">
        <v>11</v>
      </c>
      <c r="D23" s="8">
        <v>38062</v>
      </c>
      <c r="E23" s="2">
        <v>79</v>
      </c>
      <c r="F23" s="2">
        <v>81</v>
      </c>
      <c r="G23" s="2">
        <v>83</v>
      </c>
      <c r="H23" s="2">
        <v>80</v>
      </c>
      <c r="I23" s="13">
        <f>SUM(E23:H23)</f>
        <v>323</v>
      </c>
      <c r="J23" s="13">
        <f>AVERAGE(E23:H23)</f>
        <v>80.75</v>
      </c>
      <c r="K23" s="13">
        <f>MAX(E23:H23)</f>
        <v>83</v>
      </c>
      <c r="L23" s="13">
        <f>MIN(E23:H23)</f>
        <v>79</v>
      </c>
      <c r="M23" s="13" t="str">
        <f>_xlfn.CONCAT(B23:C23)</f>
        <v>VivekReddy</v>
      </c>
    </row>
    <row r="24" spans="1:13" x14ac:dyDescent="0.3">
      <c r="A24" s="2">
        <v>6</v>
      </c>
      <c r="B24" s="2" t="s">
        <v>16</v>
      </c>
      <c r="C24" s="2" t="s">
        <v>9</v>
      </c>
      <c r="D24" s="8">
        <v>37270</v>
      </c>
      <c r="E24" s="2">
        <v>78</v>
      </c>
      <c r="F24" s="2">
        <v>82</v>
      </c>
      <c r="G24" s="2">
        <v>75</v>
      </c>
      <c r="H24" s="2">
        <v>80</v>
      </c>
      <c r="I24" s="13">
        <f>SUM(E24:H24)</f>
        <v>315</v>
      </c>
      <c r="J24" s="13">
        <f>AVERAGE(E24:H24)</f>
        <v>78.75</v>
      </c>
      <c r="K24" s="13">
        <f>MAX(E24:H24)</f>
        <v>82</v>
      </c>
      <c r="L24" s="13">
        <f>MIN(E24:H24)</f>
        <v>75</v>
      </c>
      <c r="M24" s="13" t="str">
        <f t="shared" ref="M24:M29" si="1">_xlfn.CONCAT(B24," ",C24)</f>
        <v>Rahul Kumar</v>
      </c>
    </row>
    <row r="25" spans="1:13" x14ac:dyDescent="0.3">
      <c r="A25" s="2">
        <v>23</v>
      </c>
      <c r="B25" s="2" t="s">
        <v>42</v>
      </c>
      <c r="C25" s="2" t="s">
        <v>27</v>
      </c>
      <c r="D25" s="8">
        <v>37156</v>
      </c>
      <c r="E25" s="2">
        <v>76</v>
      </c>
      <c r="F25" s="2">
        <v>74</v>
      </c>
      <c r="G25" s="2">
        <v>78</v>
      </c>
      <c r="H25" s="2">
        <v>77</v>
      </c>
      <c r="I25" s="13">
        <f>SUM(E25:H25)</f>
        <v>305</v>
      </c>
      <c r="J25" s="13">
        <f>AVERAGE(E25:H25)</f>
        <v>76.25</v>
      </c>
      <c r="K25" s="13">
        <f>MAX(E25:H25)</f>
        <v>78</v>
      </c>
      <c r="L25" s="13">
        <f>MIN(E25:H25)</f>
        <v>74</v>
      </c>
      <c r="M25" s="13" t="str">
        <f t="shared" si="1"/>
        <v>Akash Patel</v>
      </c>
    </row>
    <row r="26" spans="1:13" x14ac:dyDescent="0.3">
      <c r="A26" s="2">
        <v>11</v>
      </c>
      <c r="B26" s="2" t="s">
        <v>24</v>
      </c>
      <c r="C26" s="2" t="s">
        <v>25</v>
      </c>
      <c r="D26" s="8">
        <v>37121</v>
      </c>
      <c r="E26" s="2">
        <v>74</v>
      </c>
      <c r="F26" s="2">
        <v>77</v>
      </c>
      <c r="G26" s="2">
        <v>73</v>
      </c>
      <c r="H26" s="2">
        <v>76</v>
      </c>
      <c r="I26" s="13">
        <f>SUM(E26:H26)</f>
        <v>300</v>
      </c>
      <c r="J26" s="13">
        <f>AVERAGE(E26:H26)</f>
        <v>75</v>
      </c>
      <c r="K26" s="13">
        <f>MAX(E26:H26)</f>
        <v>77</v>
      </c>
      <c r="L26" s="13">
        <f>MIN(E26:H26)</f>
        <v>73</v>
      </c>
      <c r="M26" s="13" t="str">
        <f t="shared" si="1"/>
        <v>Nikhil Varma</v>
      </c>
    </row>
    <row r="27" spans="1:13" x14ac:dyDescent="0.3">
      <c r="A27" s="2">
        <v>19</v>
      </c>
      <c r="B27" s="2" t="s">
        <v>38</v>
      </c>
      <c r="C27" s="2" t="s">
        <v>9</v>
      </c>
      <c r="D27" s="8">
        <v>37751</v>
      </c>
      <c r="E27" s="2">
        <v>72</v>
      </c>
      <c r="F27" s="2">
        <v>75</v>
      </c>
      <c r="G27" s="2">
        <v>70</v>
      </c>
      <c r="H27" s="2">
        <v>73</v>
      </c>
      <c r="I27" s="13">
        <f>SUM(E27:H27)</f>
        <v>290</v>
      </c>
      <c r="J27" s="13">
        <f>AVERAGE(E27:H27)</f>
        <v>72.5</v>
      </c>
      <c r="K27" s="13">
        <f>MAX(E27:H27)</f>
        <v>75</v>
      </c>
      <c r="L27" s="13">
        <f>MIN(E27:H27)</f>
        <v>70</v>
      </c>
      <c r="M27" s="13" t="str">
        <f t="shared" si="1"/>
        <v>Ajay Kumar</v>
      </c>
    </row>
    <row r="28" spans="1:13" x14ac:dyDescent="0.3">
      <c r="A28" s="2">
        <v>15</v>
      </c>
      <c r="B28" s="2" t="s">
        <v>32</v>
      </c>
      <c r="C28" s="2" t="s">
        <v>9</v>
      </c>
      <c r="D28" s="8">
        <v>37289</v>
      </c>
      <c r="E28" s="2">
        <v>69</v>
      </c>
      <c r="F28" s="2">
        <v>71</v>
      </c>
      <c r="G28" s="2">
        <v>74</v>
      </c>
      <c r="H28" s="2">
        <v>70</v>
      </c>
      <c r="I28" s="13">
        <f>SUM(E28:H28)</f>
        <v>284</v>
      </c>
      <c r="J28" s="13">
        <f>AVERAGE(E28:H28)</f>
        <v>71</v>
      </c>
      <c r="K28" s="13">
        <f>MAX(E28:H28)</f>
        <v>74</v>
      </c>
      <c r="L28" s="13">
        <f>MIN(E28:H28)</f>
        <v>69</v>
      </c>
      <c r="M28" s="13" t="str">
        <f t="shared" si="1"/>
        <v>Harsha Kumar</v>
      </c>
    </row>
    <row r="29" spans="1:13" x14ac:dyDescent="0.3">
      <c r="A29" s="2">
        <v>8</v>
      </c>
      <c r="B29" s="2" t="s">
        <v>19</v>
      </c>
      <c r="C29" s="2" t="s">
        <v>11</v>
      </c>
      <c r="D29" s="8">
        <v>37000</v>
      </c>
      <c r="E29" s="2">
        <v>65</v>
      </c>
      <c r="F29" s="2">
        <v>72</v>
      </c>
      <c r="G29" s="2">
        <v>70</v>
      </c>
      <c r="H29" s="2">
        <v>68</v>
      </c>
      <c r="I29" s="13">
        <f>SUM(E29:H29)</f>
        <v>275</v>
      </c>
      <c r="J29" s="13">
        <f>AVERAGE(E29:H29)</f>
        <v>68.75</v>
      </c>
      <c r="K29" s="13">
        <f>MAX(E29:H29)</f>
        <v>72</v>
      </c>
      <c r="L29" s="13">
        <f>MIN(E29:H29)</f>
        <v>65</v>
      </c>
      <c r="M29" s="13" t="str">
        <f t="shared" si="1"/>
        <v>Kiran Reddy</v>
      </c>
    </row>
    <row r="34" spans="1:13" ht="23.4" x14ac:dyDescent="0.45">
      <c r="A34" s="1" t="s">
        <v>45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8.8" x14ac:dyDescent="0.3">
      <c r="A35" s="3" t="s">
        <v>0</v>
      </c>
      <c r="B35" s="3" t="s">
        <v>1</v>
      </c>
      <c r="C35" s="3" t="s">
        <v>2</v>
      </c>
      <c r="D35" s="7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46</v>
      </c>
      <c r="J35" s="3" t="s">
        <v>47</v>
      </c>
      <c r="K35" s="3" t="s">
        <v>48</v>
      </c>
      <c r="L35" s="3" t="s">
        <v>49</v>
      </c>
      <c r="M35" s="3" t="s">
        <v>50</v>
      </c>
    </row>
    <row r="36" spans="1:13" x14ac:dyDescent="0.3">
      <c r="A36" s="2">
        <v>18</v>
      </c>
      <c r="B36" s="2" t="s">
        <v>36</v>
      </c>
      <c r="C36" s="2" t="s">
        <v>37</v>
      </c>
      <c r="D36" s="8">
        <v>37369</v>
      </c>
      <c r="E36" s="2">
        <v>98</v>
      </c>
      <c r="F36" s="2">
        <v>95</v>
      </c>
      <c r="G36" s="2">
        <v>97</v>
      </c>
      <c r="H36" s="2">
        <v>96</v>
      </c>
      <c r="I36" s="13">
        <f>SUM(E36:H36)</f>
        <v>386</v>
      </c>
      <c r="J36" s="13">
        <f>AVERAGE(E36:H36)</f>
        <v>96.5</v>
      </c>
      <c r="K36" s="13">
        <f>MAX(E36:H36)</f>
        <v>98</v>
      </c>
      <c r="L36" s="13">
        <f>MIN(E36:H36)</f>
        <v>95</v>
      </c>
      <c r="M36" s="13" t="str">
        <f>_xlfn.CONCAT(B36," ",C36)</f>
        <v>Kavya Nair</v>
      </c>
    </row>
    <row r="37" spans="1:13" x14ac:dyDescent="0.3">
      <c r="A37" s="2">
        <v>14</v>
      </c>
      <c r="B37" s="2" t="s">
        <v>30</v>
      </c>
      <c r="C37" s="2" t="s">
        <v>31</v>
      </c>
      <c r="D37" s="8">
        <v>37980</v>
      </c>
      <c r="E37" s="2">
        <v>95</v>
      </c>
      <c r="F37" s="2">
        <v>96</v>
      </c>
      <c r="G37" s="2">
        <v>94</v>
      </c>
      <c r="H37" s="2">
        <v>97</v>
      </c>
      <c r="I37" s="13">
        <f>SUM(E37:H37)</f>
        <v>382</v>
      </c>
      <c r="J37" s="13">
        <f>AVERAGE(E37:H37)</f>
        <v>95.5</v>
      </c>
      <c r="K37" s="13">
        <f>MAX(E37:H37)</f>
        <v>97</v>
      </c>
      <c r="L37" s="13">
        <f>MIN(E37:H37)</f>
        <v>94</v>
      </c>
      <c r="M37" s="13" t="str">
        <f t="shared" ref="M37:M47" si="2">_xlfn.CONCAT(B37," ",C37)</f>
        <v>Deepika Rani</v>
      </c>
    </row>
    <row r="38" spans="1:13" x14ac:dyDescent="0.3">
      <c r="A38" s="2">
        <v>9</v>
      </c>
      <c r="B38" s="2" t="s">
        <v>20</v>
      </c>
      <c r="C38" s="2" t="s">
        <v>21</v>
      </c>
      <c r="D38" s="8">
        <v>37571</v>
      </c>
      <c r="E38" s="2">
        <v>96</v>
      </c>
      <c r="F38" s="2">
        <v>94</v>
      </c>
      <c r="G38" s="2">
        <v>91</v>
      </c>
      <c r="H38" s="2">
        <v>95</v>
      </c>
      <c r="I38" s="13">
        <f>SUM(E38:H38)</f>
        <v>376</v>
      </c>
      <c r="J38" s="13">
        <f>AVERAGE(E38:H38)</f>
        <v>94</v>
      </c>
      <c r="K38" s="13">
        <f>MAX(E38:H38)</f>
        <v>96</v>
      </c>
      <c r="L38" s="13">
        <f>MIN(E38:H38)</f>
        <v>91</v>
      </c>
      <c r="M38" s="13" t="str">
        <f t="shared" si="2"/>
        <v>Anjali Devi</v>
      </c>
    </row>
    <row r="39" spans="1:13" x14ac:dyDescent="0.3">
      <c r="A39" s="2">
        <v>24</v>
      </c>
      <c r="B39" s="2" t="s">
        <v>43</v>
      </c>
      <c r="C39" s="2" t="s">
        <v>18</v>
      </c>
      <c r="D39" s="8">
        <v>37546</v>
      </c>
      <c r="E39" s="2">
        <v>93</v>
      </c>
      <c r="F39" s="2">
        <v>94</v>
      </c>
      <c r="G39" s="2">
        <v>95</v>
      </c>
      <c r="H39" s="2">
        <v>92</v>
      </c>
      <c r="I39" s="13">
        <f>SUM(E39:H39)</f>
        <v>374</v>
      </c>
      <c r="J39" s="13">
        <f>AVERAGE(E39:H39)</f>
        <v>93.5</v>
      </c>
      <c r="K39" s="13">
        <f>MAX(E39:H39)</f>
        <v>95</v>
      </c>
      <c r="L39" s="13">
        <f>MIN(E39:H39)</f>
        <v>92</v>
      </c>
      <c r="M39" s="13" t="str">
        <f t="shared" si="2"/>
        <v>Bhavana Sharma</v>
      </c>
    </row>
    <row r="40" spans="1:13" x14ac:dyDescent="0.3">
      <c r="A40" s="2">
        <v>5</v>
      </c>
      <c r="B40" s="2" t="s">
        <v>15</v>
      </c>
      <c r="C40" s="2" t="s">
        <v>12</v>
      </c>
      <c r="D40" s="8">
        <v>38128</v>
      </c>
      <c r="E40" s="2">
        <v>94</v>
      </c>
      <c r="F40" s="2">
        <v>86</v>
      </c>
      <c r="G40" s="2">
        <v>100</v>
      </c>
      <c r="H40" s="2">
        <v>94</v>
      </c>
      <c r="I40" s="13">
        <f>SUM(E40:H40)</f>
        <v>374</v>
      </c>
      <c r="J40" s="13">
        <f>AVERAGE(E40:H40)</f>
        <v>93.5</v>
      </c>
      <c r="K40" s="13">
        <f>MAX(E40:H40)</f>
        <v>100</v>
      </c>
      <c r="L40" s="13">
        <f>MIN(E40:H40)</f>
        <v>86</v>
      </c>
      <c r="M40" s="13" t="str">
        <f t="shared" si="2"/>
        <v>Dhana Sai</v>
      </c>
    </row>
    <row r="41" spans="1:13" x14ac:dyDescent="0.3">
      <c r="A41" s="2">
        <v>20</v>
      </c>
      <c r="B41" s="2" t="s">
        <v>39</v>
      </c>
      <c r="C41" s="2" t="s">
        <v>23</v>
      </c>
      <c r="D41" s="8">
        <v>37069</v>
      </c>
      <c r="E41" s="2">
        <v>90</v>
      </c>
      <c r="F41" s="2">
        <v>92</v>
      </c>
      <c r="G41" s="2">
        <v>89</v>
      </c>
      <c r="H41" s="2">
        <v>91</v>
      </c>
      <c r="I41" s="13">
        <f>SUM(E41:H41)</f>
        <v>362</v>
      </c>
      <c r="J41" s="13">
        <f>AVERAGE(E41:H41)</f>
        <v>90.5</v>
      </c>
      <c r="K41" s="13">
        <f>MAX(E41:H41)</f>
        <v>92</v>
      </c>
      <c r="L41" s="13">
        <f>MIN(E41:H41)</f>
        <v>89</v>
      </c>
      <c r="M41" s="13" t="str">
        <f t="shared" si="2"/>
        <v>Divya Rao</v>
      </c>
    </row>
    <row r="42" spans="1:13" x14ac:dyDescent="0.3">
      <c r="A42" s="2">
        <v>3</v>
      </c>
      <c r="B42" s="2" t="s">
        <v>12</v>
      </c>
      <c r="C42" s="2" t="s">
        <v>13</v>
      </c>
      <c r="D42" s="8">
        <v>38216</v>
      </c>
      <c r="E42" s="2">
        <v>92</v>
      </c>
      <c r="F42" s="2">
        <v>88</v>
      </c>
      <c r="G42" s="2">
        <v>90</v>
      </c>
      <c r="H42" s="2">
        <v>92</v>
      </c>
      <c r="I42" s="13">
        <f>SUM(E42:H42)</f>
        <v>362</v>
      </c>
      <c r="J42" s="13">
        <f>AVERAGE(E42:H42)</f>
        <v>90.5</v>
      </c>
      <c r="K42" s="13">
        <f>MAX(E42:H42)</f>
        <v>92</v>
      </c>
      <c r="L42" s="13">
        <f>MIN(E42:H42)</f>
        <v>88</v>
      </c>
      <c r="M42" s="13" t="str">
        <f t="shared" si="2"/>
        <v>Sai Krishna</v>
      </c>
    </row>
    <row r="43" spans="1:13" x14ac:dyDescent="0.3">
      <c r="A43" s="2">
        <v>22</v>
      </c>
      <c r="B43" s="2" t="s">
        <v>41</v>
      </c>
      <c r="C43" s="2" t="s">
        <v>11</v>
      </c>
      <c r="D43" s="8">
        <v>37841</v>
      </c>
      <c r="E43" s="2">
        <v>91</v>
      </c>
      <c r="F43" s="2">
        <v>90</v>
      </c>
      <c r="G43" s="2">
        <v>92</v>
      </c>
      <c r="H43" s="2">
        <v>89</v>
      </c>
      <c r="I43" s="13">
        <f>SUM(E43:H43)</f>
        <v>362</v>
      </c>
      <c r="J43" s="13">
        <f>AVERAGE(E43:H43)</f>
        <v>90.5</v>
      </c>
      <c r="K43" s="13">
        <f>MAX(E43:H43)</f>
        <v>92</v>
      </c>
      <c r="L43" s="13">
        <f>MIN(E43:H43)</f>
        <v>89</v>
      </c>
      <c r="M43" s="13" t="str">
        <f t="shared" si="2"/>
        <v>Swathi Reddy</v>
      </c>
    </row>
    <row r="44" spans="1:13" x14ac:dyDescent="0.3">
      <c r="A44" s="2">
        <v>12</v>
      </c>
      <c r="B44" s="2" t="s">
        <v>26</v>
      </c>
      <c r="C44" s="2" t="s">
        <v>27</v>
      </c>
      <c r="D44" s="8">
        <v>37508</v>
      </c>
      <c r="E44" s="2">
        <v>89</v>
      </c>
      <c r="F44" s="2">
        <v>91</v>
      </c>
      <c r="G44" s="2">
        <v>88</v>
      </c>
      <c r="H44" s="2">
        <v>90</v>
      </c>
      <c r="I44" s="13">
        <f>SUM(E44:H44)</f>
        <v>358</v>
      </c>
      <c r="J44" s="13">
        <f>AVERAGE(E44:H44)</f>
        <v>89.5</v>
      </c>
      <c r="K44" s="13">
        <f>MAX(E44:H44)</f>
        <v>91</v>
      </c>
      <c r="L44" s="13">
        <f>MIN(E44:H44)</f>
        <v>88</v>
      </c>
      <c r="M44" s="13" t="str">
        <f t="shared" si="2"/>
        <v>Sneha Patel</v>
      </c>
    </row>
    <row r="45" spans="1:13" x14ac:dyDescent="0.3">
      <c r="A45" s="2">
        <v>7</v>
      </c>
      <c r="B45" s="2" t="s">
        <v>17</v>
      </c>
      <c r="C45" s="2" t="s">
        <v>18</v>
      </c>
      <c r="D45" s="8">
        <v>37685</v>
      </c>
      <c r="E45" s="2">
        <v>88</v>
      </c>
      <c r="F45" s="2">
        <v>90</v>
      </c>
      <c r="G45" s="2">
        <v>84</v>
      </c>
      <c r="H45" s="2">
        <v>89</v>
      </c>
      <c r="I45" s="13">
        <f>SUM(E45:H45)</f>
        <v>351</v>
      </c>
      <c r="J45" s="13">
        <f>AVERAGE(E45:H45)</f>
        <v>87.75</v>
      </c>
      <c r="K45" s="13">
        <f>MAX(E45:H45)</f>
        <v>90</v>
      </c>
      <c r="L45" s="13">
        <f>MIN(E45:H45)</f>
        <v>84</v>
      </c>
      <c r="M45" s="13" t="str">
        <f t="shared" si="2"/>
        <v>Priya Sharma</v>
      </c>
    </row>
    <row r="46" spans="1:13" x14ac:dyDescent="0.3">
      <c r="A46" s="2">
        <v>2</v>
      </c>
      <c r="B46" s="2" t="s">
        <v>10</v>
      </c>
      <c r="C46" s="2" t="s">
        <v>11</v>
      </c>
      <c r="D46" s="8">
        <v>38534</v>
      </c>
      <c r="E46" s="2">
        <v>91</v>
      </c>
      <c r="F46" s="2">
        <v>89</v>
      </c>
      <c r="G46" s="2">
        <v>78</v>
      </c>
      <c r="H46" s="2">
        <v>91</v>
      </c>
      <c r="I46" s="13">
        <f>SUM(E46:H46)</f>
        <v>349</v>
      </c>
      <c r="J46" s="13">
        <f>AVERAGE(E46:H46)</f>
        <v>87.25</v>
      </c>
      <c r="K46" s="13">
        <f>MAX(E46:H46)</f>
        <v>91</v>
      </c>
      <c r="L46" s="13">
        <f>MIN(E46:H46)</f>
        <v>78</v>
      </c>
      <c r="M46" s="13" t="str">
        <f t="shared" si="2"/>
        <v>Sowjanya Reddy</v>
      </c>
    </row>
    <row r="47" spans="1:13" x14ac:dyDescent="0.3">
      <c r="A47" s="2">
        <v>16</v>
      </c>
      <c r="B47" s="2" t="s">
        <v>33</v>
      </c>
      <c r="C47" s="2" t="s">
        <v>34</v>
      </c>
      <c r="D47" s="8">
        <v>36898</v>
      </c>
      <c r="E47" s="2">
        <v>87</v>
      </c>
      <c r="F47" s="2">
        <v>85</v>
      </c>
      <c r="G47" s="2">
        <v>82</v>
      </c>
      <c r="H47" s="2">
        <v>88</v>
      </c>
      <c r="I47" s="13">
        <f>SUM(E47:H47)</f>
        <v>342</v>
      </c>
      <c r="J47" s="13">
        <f>AVERAGE(E47:H47)</f>
        <v>85.5</v>
      </c>
      <c r="K47" s="13">
        <f>MAX(E47:H47)</f>
        <v>88</v>
      </c>
      <c r="L47" s="13">
        <f>MIN(E47:H47)</f>
        <v>82</v>
      </c>
      <c r="M47" s="13" t="str">
        <f t="shared" si="2"/>
        <v>Pooja Verma</v>
      </c>
    </row>
  </sheetData>
  <autoFilter ref="G4:G29" xr:uid="{7748D81D-048E-4C33-A03C-DBA089F6F505}">
    <filterColumn colId="0">
      <customFilters>
        <customFilter operator="lessThan" val="80"/>
      </customFilters>
    </filterColumn>
  </autoFilter>
  <mergeCells count="3">
    <mergeCell ref="A3:M3"/>
    <mergeCell ref="A34:M34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2AC6-B4D5-4DBE-8FC2-E804A34E23B1}">
  <dimension ref="A1:U28"/>
  <sheetViews>
    <sheetView topLeftCell="A4" workbookViewId="0">
      <selection activeCell="M24" sqref="M24"/>
    </sheetView>
  </sheetViews>
  <sheetFormatPr defaultRowHeight="14.4" x14ac:dyDescent="0.3"/>
  <cols>
    <col min="3" max="3" width="20.88671875" style="9" bestFit="1" customWidth="1"/>
    <col min="13" max="13" width="5.77734375" customWidth="1"/>
    <col min="14" max="14" width="13.109375" customWidth="1"/>
  </cols>
  <sheetData>
    <row r="1" spans="1:21" ht="31.8" customHeight="1" x14ac:dyDescent="0.45">
      <c r="A1" s="26" t="s">
        <v>58</v>
      </c>
      <c r="N1" s="34" t="s">
        <v>57</v>
      </c>
    </row>
    <row r="2" spans="1:21" ht="28.2" x14ac:dyDescent="0.55000000000000004">
      <c r="A2" s="19" t="s">
        <v>52</v>
      </c>
      <c r="B2" s="19"/>
      <c r="C2" s="19"/>
      <c r="D2" s="19"/>
      <c r="E2" s="19"/>
      <c r="F2" s="19"/>
      <c r="G2" s="19"/>
      <c r="H2" s="19"/>
      <c r="I2" s="19"/>
      <c r="J2" s="36"/>
      <c r="K2" s="26"/>
      <c r="L2" s="26"/>
      <c r="N2" s="22" t="s">
        <v>50</v>
      </c>
      <c r="O2" s="22" t="s">
        <v>46</v>
      </c>
    </row>
    <row r="3" spans="1:21" ht="31.2" x14ac:dyDescent="0.5">
      <c r="A3" s="3" t="s">
        <v>1</v>
      </c>
      <c r="B3" s="3" t="s">
        <v>2</v>
      </c>
      <c r="C3" s="7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47</v>
      </c>
      <c r="I3" s="37" t="s">
        <v>63</v>
      </c>
      <c r="J3" s="3" t="s">
        <v>64</v>
      </c>
      <c r="N3" s="13" t="str">
        <f>_xlfn.CONCAT(A4," ",B4)</f>
        <v>Kavya Nair</v>
      </c>
      <c r="O3" s="13">
        <f>SUM(D4:G4)</f>
        <v>386</v>
      </c>
      <c r="T3" s="24" t="s">
        <v>55</v>
      </c>
      <c r="U3" s="23"/>
    </row>
    <row r="4" spans="1:21" x14ac:dyDescent="0.3">
      <c r="A4" s="2" t="s">
        <v>36</v>
      </c>
      <c r="B4" s="2" t="s">
        <v>37</v>
      </c>
      <c r="C4" s="8">
        <v>37369</v>
      </c>
      <c r="D4" s="2">
        <v>98</v>
      </c>
      <c r="E4" s="2">
        <v>95</v>
      </c>
      <c r="F4" s="2">
        <v>97</v>
      </c>
      <c r="G4" s="2">
        <v>96</v>
      </c>
      <c r="H4" s="21">
        <f>AVERAGE(D4:G4)</f>
        <v>96.5</v>
      </c>
      <c r="I4" s="21" t="str">
        <f>IF(AND(D4&gt;35,E4&gt;35,F4&gt;35,G4&gt;35),"PASS","FAIL")</f>
        <v>PASS</v>
      </c>
      <c r="J4" s="13" t="str">
        <f>IF(H4&gt;90, "A",IF(H4&gt;=80,"B",IF(H4&gt;=70,"C", IF(H4&gt;=60,"D", IF(H4&lt;60,"F")))))</f>
        <v>A</v>
      </c>
      <c r="N4" s="13" t="str">
        <f t="shared" ref="N4:N27" si="0">_xlfn.CONCAT(A5," ",B5)</f>
        <v>Deepika Rani</v>
      </c>
      <c r="O4" s="13">
        <f t="shared" ref="O4:O27" si="1">SUM(D5:G5)</f>
        <v>382</v>
      </c>
    </row>
    <row r="5" spans="1:21" x14ac:dyDescent="0.3">
      <c r="A5" s="2" t="s">
        <v>30</v>
      </c>
      <c r="B5" s="2" t="s">
        <v>31</v>
      </c>
      <c r="C5" s="39">
        <v>37980</v>
      </c>
      <c r="D5" s="2">
        <v>95</v>
      </c>
      <c r="E5" s="2">
        <v>96</v>
      </c>
      <c r="F5" s="2">
        <v>94</v>
      </c>
      <c r="G5" s="2">
        <v>97</v>
      </c>
      <c r="H5" s="21">
        <f t="shared" ref="H5:H28" si="2">AVERAGE(D5:G5)</f>
        <v>95.5</v>
      </c>
      <c r="I5" s="21" t="str">
        <f t="shared" ref="I5:I28" si="3">IF(AND(D5&gt;35,E5&gt;35,F5&gt;35,G5&gt;35),"PASS","FAIL")</f>
        <v>PASS</v>
      </c>
      <c r="J5" s="13" t="str">
        <f t="shared" ref="J5:J28" si="4">IF(H5&gt;90, "A",IF(H5&gt;=80,"B",IF(H5&gt;=70,"C", IF(H5&gt;=60,"D", IF(H5&lt;60,"F")))))</f>
        <v>A</v>
      </c>
      <c r="N5" s="13" t="str">
        <f t="shared" si="0"/>
        <v>Anjali Devi</v>
      </c>
      <c r="O5" s="13">
        <f t="shared" si="1"/>
        <v>376</v>
      </c>
    </row>
    <row r="6" spans="1:21" x14ac:dyDescent="0.3">
      <c r="A6" s="2" t="s">
        <v>20</v>
      </c>
      <c r="B6" s="2" t="s">
        <v>21</v>
      </c>
      <c r="C6" s="8">
        <v>37571</v>
      </c>
      <c r="D6" s="2">
        <v>96</v>
      </c>
      <c r="E6" s="2">
        <v>94</v>
      </c>
      <c r="F6" s="2">
        <v>91</v>
      </c>
      <c r="G6" s="2">
        <v>95</v>
      </c>
      <c r="H6" s="21">
        <f t="shared" si="2"/>
        <v>94</v>
      </c>
      <c r="I6" s="21" t="str">
        <f t="shared" si="3"/>
        <v>PASS</v>
      </c>
      <c r="J6" s="13" t="str">
        <f t="shared" si="4"/>
        <v>A</v>
      </c>
      <c r="N6" s="13" t="str">
        <f t="shared" si="0"/>
        <v>Bhavana Sharma</v>
      </c>
      <c r="O6" s="13">
        <f t="shared" si="1"/>
        <v>374</v>
      </c>
    </row>
    <row r="7" spans="1:21" x14ac:dyDescent="0.3">
      <c r="A7" s="2" t="s">
        <v>43</v>
      </c>
      <c r="B7" s="2" t="s">
        <v>18</v>
      </c>
      <c r="C7" s="8">
        <v>37546</v>
      </c>
      <c r="D7" s="2">
        <v>93</v>
      </c>
      <c r="E7" s="2">
        <v>94</v>
      </c>
      <c r="F7" s="35">
        <v>95</v>
      </c>
      <c r="G7" s="2">
        <v>92</v>
      </c>
      <c r="H7" s="21">
        <f t="shared" si="2"/>
        <v>93.5</v>
      </c>
      <c r="I7" s="21" t="str">
        <f t="shared" si="3"/>
        <v>PASS</v>
      </c>
      <c r="J7" s="13" t="str">
        <f t="shared" si="4"/>
        <v>A</v>
      </c>
      <c r="N7" s="13" t="str">
        <f t="shared" si="0"/>
        <v>Dhana Sai</v>
      </c>
      <c r="O7" s="13">
        <f t="shared" si="1"/>
        <v>302</v>
      </c>
    </row>
    <row r="8" spans="1:21" x14ac:dyDescent="0.3">
      <c r="A8" s="2" t="s">
        <v>15</v>
      </c>
      <c r="B8" s="2" t="s">
        <v>12</v>
      </c>
      <c r="C8" s="8">
        <v>38128</v>
      </c>
      <c r="D8" s="2">
        <v>94</v>
      </c>
      <c r="E8" s="2">
        <v>86</v>
      </c>
      <c r="F8" s="2">
        <v>100</v>
      </c>
      <c r="G8" s="20">
        <v>22</v>
      </c>
      <c r="H8" s="13">
        <f t="shared" si="2"/>
        <v>75.5</v>
      </c>
      <c r="I8" s="38" t="str">
        <f t="shared" si="3"/>
        <v>FAIL</v>
      </c>
      <c r="J8" s="13" t="str">
        <f t="shared" si="4"/>
        <v>C</v>
      </c>
      <c r="N8" s="13" t="str">
        <f t="shared" si="0"/>
        <v>Divya Rao</v>
      </c>
      <c r="O8" s="13">
        <f t="shared" si="1"/>
        <v>362</v>
      </c>
    </row>
    <row r="9" spans="1:21" x14ac:dyDescent="0.3">
      <c r="A9" s="2" t="s">
        <v>39</v>
      </c>
      <c r="B9" s="2" t="s">
        <v>23</v>
      </c>
      <c r="C9" s="8">
        <v>37069</v>
      </c>
      <c r="D9" s="2">
        <v>90</v>
      </c>
      <c r="E9" s="2">
        <v>92</v>
      </c>
      <c r="F9" s="2">
        <v>89</v>
      </c>
      <c r="G9" s="2">
        <v>91</v>
      </c>
      <c r="H9" s="21">
        <f t="shared" si="2"/>
        <v>90.5</v>
      </c>
      <c r="I9" s="21" t="str">
        <f t="shared" si="3"/>
        <v>PASS</v>
      </c>
      <c r="J9" s="13" t="str">
        <f t="shared" si="4"/>
        <v>A</v>
      </c>
      <c r="N9" s="13" t="str">
        <f t="shared" si="0"/>
        <v>Sai Krishna</v>
      </c>
      <c r="O9" s="13">
        <f t="shared" si="1"/>
        <v>234</v>
      </c>
    </row>
    <row r="10" spans="1:21" x14ac:dyDescent="0.3">
      <c r="A10" s="2" t="s">
        <v>12</v>
      </c>
      <c r="B10" s="2" t="s">
        <v>13</v>
      </c>
      <c r="C10" s="8">
        <v>38216</v>
      </c>
      <c r="D10" s="2">
        <v>92</v>
      </c>
      <c r="E10" s="20">
        <v>33</v>
      </c>
      <c r="F10" s="2">
        <v>90</v>
      </c>
      <c r="G10" s="20">
        <v>19</v>
      </c>
      <c r="H10" s="13">
        <f t="shared" si="2"/>
        <v>58.5</v>
      </c>
      <c r="I10" s="38" t="str">
        <f t="shared" si="3"/>
        <v>FAIL</v>
      </c>
      <c r="J10" s="13" t="str">
        <f t="shared" si="4"/>
        <v>F</v>
      </c>
      <c r="N10" s="13" t="str">
        <f t="shared" si="0"/>
        <v>Swathi Reddy</v>
      </c>
      <c r="O10" s="13">
        <f t="shared" si="1"/>
        <v>305</v>
      </c>
    </row>
    <row r="11" spans="1:21" x14ac:dyDescent="0.3">
      <c r="A11" s="2" t="s">
        <v>41</v>
      </c>
      <c r="B11" s="2" t="s">
        <v>11</v>
      </c>
      <c r="C11" s="8">
        <v>37841</v>
      </c>
      <c r="D11" s="2">
        <v>91</v>
      </c>
      <c r="E11" s="2">
        <v>90</v>
      </c>
      <c r="F11" s="2">
        <v>92</v>
      </c>
      <c r="G11" s="20">
        <v>32</v>
      </c>
      <c r="H11" s="13">
        <f t="shared" si="2"/>
        <v>76.25</v>
      </c>
      <c r="I11" s="38" t="str">
        <f t="shared" si="3"/>
        <v>FAIL</v>
      </c>
      <c r="J11" s="13" t="str">
        <f t="shared" si="4"/>
        <v>C</v>
      </c>
      <c r="N11" s="13" t="str">
        <f t="shared" si="0"/>
        <v>Sneha Patel</v>
      </c>
      <c r="O11" s="13">
        <f t="shared" si="1"/>
        <v>358</v>
      </c>
    </row>
    <row r="12" spans="1:21" x14ac:dyDescent="0.3">
      <c r="A12" s="2" t="s">
        <v>26</v>
      </c>
      <c r="B12" s="2" t="s">
        <v>27</v>
      </c>
      <c r="C12" s="8">
        <v>37508</v>
      </c>
      <c r="D12" s="2">
        <v>89</v>
      </c>
      <c r="E12" s="2">
        <v>91</v>
      </c>
      <c r="F12" s="2">
        <v>88</v>
      </c>
      <c r="G12" s="2">
        <v>90</v>
      </c>
      <c r="H12" s="13">
        <f t="shared" si="2"/>
        <v>89.5</v>
      </c>
      <c r="I12" s="21" t="str">
        <f t="shared" si="3"/>
        <v>PASS</v>
      </c>
      <c r="J12" s="13" t="str">
        <f t="shared" si="4"/>
        <v>B</v>
      </c>
      <c r="N12" s="13" t="str">
        <f t="shared" si="0"/>
        <v>Priya Sharma</v>
      </c>
      <c r="O12" s="13">
        <f t="shared" si="1"/>
        <v>351</v>
      </c>
    </row>
    <row r="13" spans="1:21" x14ac:dyDescent="0.3">
      <c r="A13" s="2" t="s">
        <v>17</v>
      </c>
      <c r="B13" s="2" t="s">
        <v>18</v>
      </c>
      <c r="C13" s="8">
        <v>37685</v>
      </c>
      <c r="D13" s="2">
        <v>88</v>
      </c>
      <c r="E13" s="2">
        <v>90</v>
      </c>
      <c r="F13" s="2">
        <v>84</v>
      </c>
      <c r="G13" s="2">
        <v>89</v>
      </c>
      <c r="H13" s="13">
        <f t="shared" si="2"/>
        <v>87.75</v>
      </c>
      <c r="I13" s="21" t="str">
        <f t="shared" si="3"/>
        <v>PASS</v>
      </c>
      <c r="J13" s="13" t="str">
        <f t="shared" si="4"/>
        <v>B</v>
      </c>
      <c r="N13" s="13" t="str">
        <f t="shared" si="0"/>
        <v>Sowjanya Reddy</v>
      </c>
      <c r="O13" s="13">
        <f t="shared" si="1"/>
        <v>349</v>
      </c>
    </row>
    <row r="14" spans="1:21" x14ac:dyDescent="0.3">
      <c r="A14" s="2" t="s">
        <v>10</v>
      </c>
      <c r="B14" s="2" t="s">
        <v>11</v>
      </c>
      <c r="C14" s="8">
        <v>38534</v>
      </c>
      <c r="D14" s="2">
        <v>91</v>
      </c>
      <c r="E14" s="2">
        <v>89</v>
      </c>
      <c r="F14" s="2">
        <v>78</v>
      </c>
      <c r="G14" s="2">
        <v>91</v>
      </c>
      <c r="H14" s="13">
        <f t="shared" si="2"/>
        <v>87.25</v>
      </c>
      <c r="I14" s="21" t="str">
        <f t="shared" si="3"/>
        <v>PASS</v>
      </c>
      <c r="J14" s="13" t="str">
        <f t="shared" si="4"/>
        <v>B</v>
      </c>
      <c r="N14" s="13" t="str">
        <f t="shared" si="0"/>
        <v>Pooja Verma</v>
      </c>
      <c r="O14" s="13">
        <f t="shared" si="1"/>
        <v>283</v>
      </c>
    </row>
    <row r="15" spans="1:21" x14ac:dyDescent="0.3">
      <c r="A15" s="2" t="s">
        <v>33</v>
      </c>
      <c r="B15" s="2" t="s">
        <v>34</v>
      </c>
      <c r="C15" s="8">
        <v>36898</v>
      </c>
      <c r="D15" s="2">
        <v>87</v>
      </c>
      <c r="E15" s="2">
        <v>85</v>
      </c>
      <c r="F15" s="2">
        <v>82</v>
      </c>
      <c r="G15" s="20">
        <v>29</v>
      </c>
      <c r="H15" s="13">
        <f t="shared" si="2"/>
        <v>70.75</v>
      </c>
      <c r="I15" s="38" t="str">
        <f t="shared" si="3"/>
        <v>FAIL</v>
      </c>
      <c r="J15" s="13" t="str">
        <f t="shared" si="4"/>
        <v>C</v>
      </c>
      <c r="N15" s="13" t="str">
        <f t="shared" si="0"/>
        <v>Sana Naidu</v>
      </c>
      <c r="O15" s="13">
        <f t="shared" si="1"/>
        <v>332</v>
      </c>
    </row>
    <row r="16" spans="1:21" x14ac:dyDescent="0.3">
      <c r="A16" s="2" t="s">
        <v>51</v>
      </c>
      <c r="B16" s="2" t="s">
        <v>14</v>
      </c>
      <c r="C16" s="8">
        <v>37190</v>
      </c>
      <c r="D16" s="2">
        <v>93</v>
      </c>
      <c r="E16" s="2">
        <v>87</v>
      </c>
      <c r="F16" s="2">
        <v>59</v>
      </c>
      <c r="G16" s="2">
        <v>93</v>
      </c>
      <c r="H16" s="13">
        <f t="shared" si="2"/>
        <v>83</v>
      </c>
      <c r="I16" s="21" t="str">
        <f t="shared" si="3"/>
        <v>PASS</v>
      </c>
      <c r="J16" s="13" t="str">
        <f t="shared" si="4"/>
        <v>B</v>
      </c>
      <c r="N16" s="13" t="str">
        <f t="shared" si="0"/>
        <v>Teja Kumar</v>
      </c>
      <c r="O16" s="13">
        <f t="shared" si="1"/>
        <v>229</v>
      </c>
    </row>
    <row r="17" spans="1:21" x14ac:dyDescent="0.3">
      <c r="A17" s="2" t="s">
        <v>44</v>
      </c>
      <c r="B17" s="2" t="s">
        <v>9</v>
      </c>
      <c r="C17" s="8">
        <v>37954</v>
      </c>
      <c r="D17" s="20">
        <v>32</v>
      </c>
      <c r="E17" s="2">
        <v>83</v>
      </c>
      <c r="F17" s="2">
        <v>85</v>
      </c>
      <c r="G17" s="20">
        <v>29</v>
      </c>
      <c r="H17" s="13">
        <f t="shared" si="2"/>
        <v>57.25</v>
      </c>
      <c r="I17" s="38" t="str">
        <f t="shared" si="3"/>
        <v>FAIL</v>
      </c>
      <c r="J17" s="13" t="str">
        <f t="shared" si="4"/>
        <v>F</v>
      </c>
      <c r="N17" s="13" t="str">
        <f t="shared" si="0"/>
        <v>Manoj Singh</v>
      </c>
      <c r="O17" s="13">
        <f t="shared" si="1"/>
        <v>330</v>
      </c>
    </row>
    <row r="18" spans="1:21" x14ac:dyDescent="0.3">
      <c r="A18" s="2" t="s">
        <v>40</v>
      </c>
      <c r="B18" s="2" t="s">
        <v>29</v>
      </c>
      <c r="C18" s="8">
        <v>37450</v>
      </c>
      <c r="D18" s="2">
        <v>84</v>
      </c>
      <c r="E18" s="2">
        <v>82</v>
      </c>
      <c r="F18" s="2">
        <v>81</v>
      </c>
      <c r="G18" s="2">
        <v>83</v>
      </c>
      <c r="H18" s="13">
        <f t="shared" si="2"/>
        <v>82.5</v>
      </c>
      <c r="I18" s="21" t="str">
        <f t="shared" si="3"/>
        <v>PASS</v>
      </c>
      <c r="J18" s="13" t="str">
        <f t="shared" si="4"/>
        <v>B</v>
      </c>
      <c r="N18" s="13" t="str">
        <f t="shared" si="0"/>
        <v>Arjun Rao</v>
      </c>
      <c r="O18" s="13">
        <f t="shared" si="1"/>
        <v>328</v>
      </c>
    </row>
    <row r="19" spans="1:21" x14ac:dyDescent="0.3">
      <c r="A19" s="2" t="s">
        <v>22</v>
      </c>
      <c r="B19" s="2" t="s">
        <v>23</v>
      </c>
      <c r="C19" s="8">
        <v>37802</v>
      </c>
      <c r="D19" s="2">
        <v>82</v>
      </c>
      <c r="E19" s="2">
        <v>79</v>
      </c>
      <c r="F19" s="2">
        <v>86</v>
      </c>
      <c r="G19" s="2">
        <v>81</v>
      </c>
      <c r="H19" s="13">
        <f t="shared" si="2"/>
        <v>82</v>
      </c>
      <c r="I19" s="21" t="str">
        <f t="shared" si="3"/>
        <v>PASS</v>
      </c>
      <c r="J19" s="13" t="str">
        <f t="shared" si="4"/>
        <v>B</v>
      </c>
      <c r="N19" s="13" t="str">
        <f t="shared" si="0"/>
        <v>Mahesh Kumar</v>
      </c>
      <c r="O19" s="13">
        <f t="shared" si="1"/>
        <v>328</v>
      </c>
    </row>
    <row r="20" spans="1:21" x14ac:dyDescent="0.3">
      <c r="A20" s="2" t="s">
        <v>8</v>
      </c>
      <c r="B20" s="2" t="s">
        <v>9</v>
      </c>
      <c r="C20" s="8">
        <v>36568</v>
      </c>
      <c r="D20" s="2">
        <v>90</v>
      </c>
      <c r="E20" s="2">
        <v>80</v>
      </c>
      <c r="F20" s="2">
        <v>68</v>
      </c>
      <c r="G20" s="2">
        <v>90</v>
      </c>
      <c r="H20" s="13">
        <f t="shared" si="2"/>
        <v>82</v>
      </c>
      <c r="I20" s="21" t="str">
        <f t="shared" si="3"/>
        <v>PASS</v>
      </c>
      <c r="J20" s="13" t="str">
        <f t="shared" si="4"/>
        <v>B</v>
      </c>
      <c r="N20" s="13" t="str">
        <f t="shared" si="0"/>
        <v>Rohit Singh</v>
      </c>
      <c r="O20" s="13">
        <f t="shared" si="1"/>
        <v>281</v>
      </c>
    </row>
    <row r="21" spans="1:21" x14ac:dyDescent="0.3">
      <c r="A21" s="2" t="s">
        <v>28</v>
      </c>
      <c r="B21" s="2" t="s">
        <v>29</v>
      </c>
      <c r="C21" s="8">
        <v>36814</v>
      </c>
      <c r="D21" s="2">
        <v>83</v>
      </c>
      <c r="E21" s="2">
        <v>80</v>
      </c>
      <c r="F21" s="20">
        <v>34</v>
      </c>
      <c r="G21" s="2">
        <v>84</v>
      </c>
      <c r="H21" s="13">
        <f t="shared" si="2"/>
        <v>70.25</v>
      </c>
      <c r="I21" s="38" t="str">
        <f t="shared" si="3"/>
        <v>FAIL</v>
      </c>
      <c r="J21" s="13" t="str">
        <f t="shared" si="4"/>
        <v>C</v>
      </c>
      <c r="N21" s="13" t="str">
        <f t="shared" si="0"/>
        <v>Vivek Reddy</v>
      </c>
      <c r="O21" s="13">
        <f t="shared" si="1"/>
        <v>271</v>
      </c>
    </row>
    <row r="22" spans="1:21" x14ac:dyDescent="0.3">
      <c r="A22" s="2" t="s">
        <v>35</v>
      </c>
      <c r="B22" s="2" t="s">
        <v>11</v>
      </c>
      <c r="C22" s="8">
        <v>38062</v>
      </c>
      <c r="D22" s="2">
        <v>79</v>
      </c>
      <c r="E22" s="2">
        <v>81</v>
      </c>
      <c r="F22" s="2">
        <v>83</v>
      </c>
      <c r="G22" s="20">
        <v>28</v>
      </c>
      <c r="H22" s="13">
        <f t="shared" si="2"/>
        <v>67.75</v>
      </c>
      <c r="I22" s="38" t="str">
        <f t="shared" si="3"/>
        <v>FAIL</v>
      </c>
      <c r="J22" s="13" t="str">
        <f t="shared" si="4"/>
        <v>D</v>
      </c>
      <c r="N22" s="13" t="str">
        <f t="shared" si="0"/>
        <v>Rahul Kumar</v>
      </c>
      <c r="O22" s="13">
        <f t="shared" si="1"/>
        <v>315</v>
      </c>
    </row>
    <row r="23" spans="1:21" ht="17.399999999999999" x14ac:dyDescent="0.45">
      <c r="A23" s="2" t="s">
        <v>16</v>
      </c>
      <c r="B23" s="2" t="s">
        <v>9</v>
      </c>
      <c r="C23" s="8">
        <v>37270</v>
      </c>
      <c r="D23" s="2">
        <v>78</v>
      </c>
      <c r="E23" s="2">
        <v>82</v>
      </c>
      <c r="F23" s="2">
        <v>75</v>
      </c>
      <c r="G23" s="2">
        <v>80</v>
      </c>
      <c r="H23" s="13">
        <f t="shared" si="2"/>
        <v>78.75</v>
      </c>
      <c r="I23" s="21" t="str">
        <f t="shared" si="3"/>
        <v>PASS</v>
      </c>
      <c r="J23" s="13" t="str">
        <f t="shared" si="4"/>
        <v>C</v>
      </c>
      <c r="N23" s="13" t="str">
        <f t="shared" si="0"/>
        <v>Akash Patel</v>
      </c>
      <c r="O23" s="13">
        <f t="shared" si="1"/>
        <v>206</v>
      </c>
      <c r="T23" s="25" t="s">
        <v>56</v>
      </c>
      <c r="U23" s="25"/>
    </row>
    <row r="24" spans="1:21" x14ac:dyDescent="0.3">
      <c r="A24" s="2" t="s">
        <v>42</v>
      </c>
      <c r="B24" s="2" t="s">
        <v>27</v>
      </c>
      <c r="C24" s="8">
        <v>37156</v>
      </c>
      <c r="D24" s="2">
        <v>76</v>
      </c>
      <c r="E24" s="20">
        <v>32</v>
      </c>
      <c r="F24" s="2">
        <v>78</v>
      </c>
      <c r="G24" s="20">
        <v>20</v>
      </c>
      <c r="H24" s="13">
        <f t="shared" si="2"/>
        <v>51.5</v>
      </c>
      <c r="I24" s="38" t="str">
        <f t="shared" si="3"/>
        <v>FAIL</v>
      </c>
      <c r="J24" s="13" t="str">
        <f t="shared" si="4"/>
        <v>F</v>
      </c>
      <c r="N24" s="13" t="str">
        <f t="shared" si="0"/>
        <v>Nikhil Varma</v>
      </c>
      <c r="O24" s="13">
        <f t="shared" si="1"/>
        <v>322</v>
      </c>
    </row>
    <row r="25" spans="1:21" x14ac:dyDescent="0.3">
      <c r="A25" s="2" t="s">
        <v>24</v>
      </c>
      <c r="B25" s="2" t="s">
        <v>25</v>
      </c>
      <c r="C25" s="8">
        <v>37121</v>
      </c>
      <c r="D25" s="2">
        <v>74</v>
      </c>
      <c r="E25" s="2">
        <v>99</v>
      </c>
      <c r="F25" s="2">
        <v>73</v>
      </c>
      <c r="G25" s="2">
        <v>76</v>
      </c>
      <c r="H25" s="13">
        <f t="shared" si="2"/>
        <v>80.5</v>
      </c>
      <c r="I25" s="21" t="str">
        <f t="shared" si="3"/>
        <v>PASS</v>
      </c>
      <c r="J25" s="13" t="str">
        <f t="shared" si="4"/>
        <v>B</v>
      </c>
      <c r="N25" s="13" t="str">
        <f t="shared" si="0"/>
        <v>Ajay Kumar</v>
      </c>
      <c r="O25" s="13">
        <f t="shared" si="1"/>
        <v>213</v>
      </c>
    </row>
    <row r="26" spans="1:21" x14ac:dyDescent="0.3">
      <c r="A26" s="2" t="s">
        <v>38</v>
      </c>
      <c r="B26" s="2" t="s">
        <v>9</v>
      </c>
      <c r="C26" s="8">
        <v>37751</v>
      </c>
      <c r="D26" s="2">
        <v>72</v>
      </c>
      <c r="E26" s="20">
        <v>34</v>
      </c>
      <c r="F26" s="20">
        <v>34</v>
      </c>
      <c r="G26" s="2">
        <v>73</v>
      </c>
      <c r="H26" s="13">
        <f t="shared" si="2"/>
        <v>53.25</v>
      </c>
      <c r="I26" s="38" t="str">
        <f t="shared" si="3"/>
        <v>FAIL</v>
      </c>
      <c r="J26" s="13" t="str">
        <f t="shared" si="4"/>
        <v>F</v>
      </c>
      <c r="N26" s="13" t="str">
        <f t="shared" si="0"/>
        <v>Harsha Kumar</v>
      </c>
      <c r="O26" s="13">
        <f t="shared" si="1"/>
        <v>284</v>
      </c>
    </row>
    <row r="27" spans="1:21" x14ac:dyDescent="0.3">
      <c r="A27" s="2" t="s">
        <v>32</v>
      </c>
      <c r="B27" s="2" t="s">
        <v>9</v>
      </c>
      <c r="C27" s="8">
        <v>37289</v>
      </c>
      <c r="D27" s="2">
        <v>69</v>
      </c>
      <c r="E27" s="2">
        <v>71</v>
      </c>
      <c r="F27" s="2">
        <v>74</v>
      </c>
      <c r="G27" s="2">
        <v>70</v>
      </c>
      <c r="H27" s="13">
        <f t="shared" si="2"/>
        <v>71</v>
      </c>
      <c r="I27" s="21" t="str">
        <f t="shared" si="3"/>
        <v>PASS</v>
      </c>
      <c r="J27" s="13" t="str">
        <f t="shared" si="4"/>
        <v>C</v>
      </c>
      <c r="N27" s="13" t="str">
        <f t="shared" si="0"/>
        <v>Kiran Reddy</v>
      </c>
      <c r="O27" s="13">
        <f t="shared" si="1"/>
        <v>275</v>
      </c>
    </row>
    <row r="28" spans="1:21" x14ac:dyDescent="0.3">
      <c r="A28" s="2" t="s">
        <v>19</v>
      </c>
      <c r="B28" s="2" t="s">
        <v>11</v>
      </c>
      <c r="C28" s="8">
        <v>37000</v>
      </c>
      <c r="D28" s="2">
        <v>65</v>
      </c>
      <c r="E28" s="2">
        <v>72</v>
      </c>
      <c r="F28" s="2">
        <v>70</v>
      </c>
      <c r="G28" s="2">
        <v>68</v>
      </c>
      <c r="H28" s="13">
        <f t="shared" si="2"/>
        <v>68.75</v>
      </c>
      <c r="I28" s="21" t="str">
        <f t="shared" si="3"/>
        <v>PASS</v>
      </c>
      <c r="J28" s="13" t="str">
        <f t="shared" si="4"/>
        <v>D</v>
      </c>
    </row>
  </sheetData>
  <autoFilter ref="I3:I28" xr:uid="{F5F32AC6-B4D5-4DBE-8FC2-E804A34E23B1}"/>
  <mergeCells count="3">
    <mergeCell ref="T3:U3"/>
    <mergeCell ref="T23:U23"/>
    <mergeCell ref="A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72C9-BAC7-4584-80E6-9929009258D0}">
  <dimension ref="A3:B18"/>
  <sheetViews>
    <sheetView workbookViewId="0">
      <selection activeCell="A26" sqref="A26"/>
    </sheetView>
  </sheetViews>
  <sheetFormatPr defaultRowHeight="14.4" x14ac:dyDescent="0.3"/>
  <cols>
    <col min="1" max="1" width="12.5546875" bestFit="1" customWidth="1"/>
    <col min="2" max="2" width="20.21875" bestFit="1" customWidth="1"/>
    <col min="3" max="3" width="17.5546875" bestFit="1" customWidth="1"/>
    <col min="4" max="4" width="6.5546875" bestFit="1" customWidth="1"/>
    <col min="5" max="5" width="6" bestFit="1" customWidth="1"/>
    <col min="6" max="6" width="4.44140625" bestFit="1" customWidth="1"/>
    <col min="7" max="7" width="5.21875" bestFit="1" customWidth="1"/>
    <col min="8" max="8" width="4.6640625" bestFit="1" customWidth="1"/>
    <col min="9" max="9" width="4.21875" bestFit="1" customWidth="1"/>
    <col min="10" max="10" width="6.33203125" bestFit="1" customWidth="1"/>
    <col min="11" max="11" width="3.44140625" bestFit="1" customWidth="1"/>
    <col min="12" max="12" width="7.44140625" bestFit="1" customWidth="1"/>
    <col min="13" max="13" width="5.6640625" bestFit="1" customWidth="1"/>
    <col min="14" max="15" width="6.5546875" bestFit="1" customWidth="1"/>
    <col min="16" max="16" width="10.77734375" bestFit="1" customWidth="1"/>
  </cols>
  <sheetData>
    <row r="3" spans="1:2" x14ac:dyDescent="0.3">
      <c r="A3" s="32" t="s">
        <v>60</v>
      </c>
      <c r="B3" t="s">
        <v>59</v>
      </c>
    </row>
    <row r="4" spans="1:2" x14ac:dyDescent="0.3">
      <c r="A4" s="33" t="s">
        <v>21</v>
      </c>
      <c r="B4" s="31">
        <v>94</v>
      </c>
    </row>
    <row r="5" spans="1:2" x14ac:dyDescent="0.3">
      <c r="A5" s="33" t="s">
        <v>13</v>
      </c>
      <c r="B5" s="31">
        <v>90.5</v>
      </c>
    </row>
    <row r="6" spans="1:2" x14ac:dyDescent="0.3">
      <c r="A6" s="33" t="s">
        <v>9</v>
      </c>
      <c r="B6" s="31">
        <v>387</v>
      </c>
    </row>
    <row r="7" spans="1:2" x14ac:dyDescent="0.3">
      <c r="A7" s="33" t="s">
        <v>14</v>
      </c>
      <c r="B7" s="31">
        <v>83</v>
      </c>
    </row>
    <row r="8" spans="1:2" x14ac:dyDescent="0.3">
      <c r="A8" s="33" t="s">
        <v>37</v>
      </c>
      <c r="B8" s="31">
        <v>96.5</v>
      </c>
    </row>
    <row r="9" spans="1:2" x14ac:dyDescent="0.3">
      <c r="A9" s="33" t="s">
        <v>27</v>
      </c>
      <c r="B9" s="31">
        <v>165.75</v>
      </c>
    </row>
    <row r="10" spans="1:2" x14ac:dyDescent="0.3">
      <c r="A10" s="33" t="s">
        <v>31</v>
      </c>
      <c r="B10" s="31">
        <v>95.5</v>
      </c>
    </row>
    <row r="11" spans="1:2" x14ac:dyDescent="0.3">
      <c r="A11" s="33" t="s">
        <v>23</v>
      </c>
      <c r="B11" s="31">
        <v>172.5</v>
      </c>
    </row>
    <row r="12" spans="1:2" x14ac:dyDescent="0.3">
      <c r="A12" s="33" t="s">
        <v>11</v>
      </c>
      <c r="B12" s="31">
        <v>327.25</v>
      </c>
    </row>
    <row r="13" spans="1:2" x14ac:dyDescent="0.3">
      <c r="A13" s="33" t="s">
        <v>12</v>
      </c>
      <c r="B13" s="31">
        <v>93.5</v>
      </c>
    </row>
    <row r="14" spans="1:2" x14ac:dyDescent="0.3">
      <c r="A14" s="33" t="s">
        <v>18</v>
      </c>
      <c r="B14" s="31">
        <v>181.25</v>
      </c>
    </row>
    <row r="15" spans="1:2" x14ac:dyDescent="0.3">
      <c r="A15" s="33" t="s">
        <v>29</v>
      </c>
      <c r="B15" s="31">
        <v>164</v>
      </c>
    </row>
    <row r="16" spans="1:2" x14ac:dyDescent="0.3">
      <c r="A16" s="33" t="s">
        <v>25</v>
      </c>
      <c r="B16" s="31">
        <v>75</v>
      </c>
    </row>
    <row r="17" spans="1:2" x14ac:dyDescent="0.3">
      <c r="A17" s="33" t="s">
        <v>34</v>
      </c>
      <c r="B17" s="31">
        <v>85.5</v>
      </c>
    </row>
    <row r="18" spans="1:2" x14ac:dyDescent="0.3">
      <c r="A18" s="33" t="s">
        <v>61</v>
      </c>
      <c r="B18" s="31">
        <v>2111.25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142C-ACE2-48A7-BB92-8EB8E99D393F}">
  <dimension ref="A3:B18"/>
  <sheetViews>
    <sheetView tabSelected="1"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32" t="s">
        <v>60</v>
      </c>
      <c r="B3" t="s">
        <v>62</v>
      </c>
    </row>
    <row r="4" spans="1:2" x14ac:dyDescent="0.3">
      <c r="A4" s="33" t="s">
        <v>21</v>
      </c>
      <c r="B4" s="31">
        <v>376</v>
      </c>
    </row>
    <row r="5" spans="1:2" x14ac:dyDescent="0.3">
      <c r="A5" s="33" t="s">
        <v>13</v>
      </c>
      <c r="B5" s="31">
        <v>362</v>
      </c>
    </row>
    <row r="6" spans="1:2" x14ac:dyDescent="0.3">
      <c r="A6" s="33" t="s">
        <v>9</v>
      </c>
      <c r="B6" s="31">
        <v>1548</v>
      </c>
    </row>
    <row r="7" spans="1:2" x14ac:dyDescent="0.3">
      <c r="A7" s="33" t="s">
        <v>14</v>
      </c>
      <c r="B7" s="31">
        <v>332</v>
      </c>
    </row>
    <row r="8" spans="1:2" x14ac:dyDescent="0.3">
      <c r="A8" s="33" t="s">
        <v>37</v>
      </c>
      <c r="B8" s="31">
        <v>386</v>
      </c>
    </row>
    <row r="9" spans="1:2" x14ac:dyDescent="0.3">
      <c r="A9" s="33" t="s">
        <v>27</v>
      </c>
      <c r="B9" s="31">
        <v>663</v>
      </c>
    </row>
    <row r="10" spans="1:2" x14ac:dyDescent="0.3">
      <c r="A10" s="33" t="s">
        <v>31</v>
      </c>
      <c r="B10" s="31">
        <v>382</v>
      </c>
    </row>
    <row r="11" spans="1:2" x14ac:dyDescent="0.3">
      <c r="A11" s="33" t="s">
        <v>23</v>
      </c>
      <c r="B11" s="31">
        <v>690</v>
      </c>
    </row>
    <row r="12" spans="1:2" x14ac:dyDescent="0.3">
      <c r="A12" s="33" t="s">
        <v>11</v>
      </c>
      <c r="B12" s="31">
        <v>1309</v>
      </c>
    </row>
    <row r="13" spans="1:2" x14ac:dyDescent="0.3">
      <c r="A13" s="33" t="s">
        <v>12</v>
      </c>
      <c r="B13" s="31">
        <v>374</v>
      </c>
    </row>
    <row r="14" spans="1:2" x14ac:dyDescent="0.3">
      <c r="A14" s="33" t="s">
        <v>18</v>
      </c>
      <c r="B14" s="31">
        <v>725</v>
      </c>
    </row>
    <row r="15" spans="1:2" x14ac:dyDescent="0.3">
      <c r="A15" s="33" t="s">
        <v>29</v>
      </c>
      <c r="B15" s="31">
        <v>656</v>
      </c>
    </row>
    <row r="16" spans="1:2" x14ac:dyDescent="0.3">
      <c r="A16" s="33" t="s">
        <v>25</v>
      </c>
      <c r="B16" s="31">
        <v>300</v>
      </c>
    </row>
    <row r="17" spans="1:2" x14ac:dyDescent="0.3">
      <c r="A17" s="33" t="s">
        <v>34</v>
      </c>
      <c r="B17" s="31">
        <v>342</v>
      </c>
    </row>
    <row r="18" spans="1:2" x14ac:dyDescent="0.3">
      <c r="A18" s="33" t="s">
        <v>61</v>
      </c>
      <c r="B18" s="31">
        <v>8445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7D1C-B666-4076-9557-224F619255BA}">
  <dimension ref="A1:M27"/>
  <sheetViews>
    <sheetView topLeftCell="A4" workbookViewId="0">
      <selection activeCell="M3" sqref="M3:M27"/>
    </sheetView>
  </sheetViews>
  <sheetFormatPr defaultRowHeight="14.4" x14ac:dyDescent="0.3"/>
  <cols>
    <col min="4" max="4" width="18.5546875" style="29" customWidth="1"/>
    <col min="13" max="13" width="19.77734375" customWidth="1"/>
  </cols>
  <sheetData>
    <row r="1" spans="1:13" ht="25.2" x14ac:dyDescent="0.6">
      <c r="A1" s="30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8.8" x14ac:dyDescent="0.3">
      <c r="A2" s="3" t="s">
        <v>0</v>
      </c>
      <c r="B2" s="3" t="s">
        <v>1</v>
      </c>
      <c r="C2" s="3" t="s">
        <v>2</v>
      </c>
      <c r="D2" s="27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</row>
    <row r="3" spans="1:13" x14ac:dyDescent="0.3">
      <c r="A3" s="2">
        <v>1</v>
      </c>
      <c r="B3" s="2" t="s">
        <v>8</v>
      </c>
      <c r="C3" s="2" t="s">
        <v>9</v>
      </c>
      <c r="D3" s="28">
        <v>36568</v>
      </c>
      <c r="E3" s="2">
        <v>90</v>
      </c>
      <c r="F3" s="2">
        <v>80</v>
      </c>
      <c r="G3" s="2">
        <v>68</v>
      </c>
      <c r="H3" s="2">
        <v>90</v>
      </c>
      <c r="I3" s="13">
        <f>SUM(E3:H3)</f>
        <v>328</v>
      </c>
      <c r="J3" s="13">
        <f>AVERAGE(E3:H3)</f>
        <v>82</v>
      </c>
      <c r="K3" s="13">
        <f>MAX(E3:H3)</f>
        <v>90</v>
      </c>
      <c r="L3" s="13">
        <f>MIN(E3:H3)</f>
        <v>68</v>
      </c>
      <c r="M3" s="13" t="str">
        <f>_xlfn.CONCAT(B3," ",C3)</f>
        <v>Mahesh Kumar</v>
      </c>
    </row>
    <row r="4" spans="1:13" x14ac:dyDescent="0.3">
      <c r="A4" s="2">
        <v>2</v>
      </c>
      <c r="B4" s="2" t="s">
        <v>10</v>
      </c>
      <c r="C4" s="2" t="s">
        <v>11</v>
      </c>
      <c r="D4" s="28">
        <v>38534</v>
      </c>
      <c r="E4" s="2">
        <v>91</v>
      </c>
      <c r="F4" s="2">
        <v>89</v>
      </c>
      <c r="G4" s="2">
        <v>78</v>
      </c>
      <c r="H4" s="2">
        <v>91</v>
      </c>
      <c r="I4" s="13">
        <f>SUM(E4:H4)</f>
        <v>349</v>
      </c>
      <c r="J4" s="13">
        <f>AVERAGE(E4:H4)</f>
        <v>87.25</v>
      </c>
      <c r="K4" s="13">
        <f>MAX(E4:H4)</f>
        <v>91</v>
      </c>
      <c r="L4" s="13">
        <f>MIN(E4:H4)</f>
        <v>78</v>
      </c>
      <c r="M4" s="13" t="str">
        <f>_xlfn.CONCAT(B4:C4)</f>
        <v>SowjanyaReddy</v>
      </c>
    </row>
    <row r="5" spans="1:13" x14ac:dyDescent="0.3">
      <c r="A5" s="2">
        <v>3</v>
      </c>
      <c r="B5" s="2" t="s">
        <v>12</v>
      </c>
      <c r="C5" s="2" t="s">
        <v>13</v>
      </c>
      <c r="D5" s="28">
        <v>38216</v>
      </c>
      <c r="E5" s="2">
        <v>92</v>
      </c>
      <c r="F5" s="2">
        <v>88</v>
      </c>
      <c r="G5" s="2">
        <v>90</v>
      </c>
      <c r="H5" s="2">
        <v>92</v>
      </c>
      <c r="I5" s="13">
        <f>SUM(E5:H5)</f>
        <v>362</v>
      </c>
      <c r="J5" s="13">
        <f>AVERAGE(E5:H5)</f>
        <v>90.5</v>
      </c>
      <c r="K5" s="13">
        <f>MAX(E5:H5)</f>
        <v>92</v>
      </c>
      <c r="L5" s="13">
        <f>MIN(E5:H5)</f>
        <v>88</v>
      </c>
      <c r="M5" s="13" t="str">
        <f t="shared" ref="M5:M27" si="0">_xlfn.CONCAT(B5," ",C5)</f>
        <v>Sai Krishna</v>
      </c>
    </row>
    <row r="6" spans="1:13" x14ac:dyDescent="0.3">
      <c r="A6" s="2">
        <v>4</v>
      </c>
      <c r="B6" s="2" t="s">
        <v>51</v>
      </c>
      <c r="C6" s="2" t="s">
        <v>14</v>
      </c>
      <c r="D6" s="28">
        <v>37190</v>
      </c>
      <c r="E6" s="2">
        <v>93</v>
      </c>
      <c r="F6" s="2">
        <v>87</v>
      </c>
      <c r="G6" s="2">
        <v>59</v>
      </c>
      <c r="H6" s="2">
        <v>93</v>
      </c>
      <c r="I6" s="13">
        <f>SUM(E6:H6)</f>
        <v>332</v>
      </c>
      <c r="J6" s="13">
        <f>AVERAGE(E6:H6)</f>
        <v>83</v>
      </c>
      <c r="K6" s="13">
        <f>MAX(E6:H6)</f>
        <v>93</v>
      </c>
      <c r="L6" s="13">
        <f>MIN(E6:H6)</f>
        <v>59</v>
      </c>
      <c r="M6" s="13" t="str">
        <f t="shared" ref="M6:M27" si="1">_xlfn.CONCAT(B6:C6)</f>
        <v>SanaNaidu</v>
      </c>
    </row>
    <row r="7" spans="1:13" x14ac:dyDescent="0.3">
      <c r="A7" s="2">
        <v>5</v>
      </c>
      <c r="B7" s="2" t="s">
        <v>15</v>
      </c>
      <c r="C7" s="2" t="s">
        <v>12</v>
      </c>
      <c r="D7" s="28">
        <v>38128</v>
      </c>
      <c r="E7" s="2">
        <v>94</v>
      </c>
      <c r="F7" s="2">
        <v>86</v>
      </c>
      <c r="G7" s="2">
        <v>100</v>
      </c>
      <c r="H7" s="2">
        <v>94</v>
      </c>
      <c r="I7" s="13">
        <f>SUM(E7:H7)</f>
        <v>374</v>
      </c>
      <c r="J7" s="13">
        <f>AVERAGE(E7:H7)</f>
        <v>93.5</v>
      </c>
      <c r="K7" s="13">
        <f>MAX(E7:H7)</f>
        <v>100</v>
      </c>
      <c r="L7" s="13">
        <f>MIN(E7:H7)</f>
        <v>86</v>
      </c>
      <c r="M7" s="13" t="str">
        <f t="shared" ref="M7:M27" si="2">_xlfn.CONCAT(B7," ",C7)</f>
        <v>Dhana Sai</v>
      </c>
    </row>
    <row r="8" spans="1:13" x14ac:dyDescent="0.3">
      <c r="A8" s="2">
        <v>6</v>
      </c>
      <c r="B8" s="2" t="s">
        <v>16</v>
      </c>
      <c r="C8" s="2" t="s">
        <v>9</v>
      </c>
      <c r="D8" s="28">
        <v>37270</v>
      </c>
      <c r="E8" s="2">
        <v>78</v>
      </c>
      <c r="F8" s="2">
        <v>82</v>
      </c>
      <c r="G8" s="2">
        <v>75</v>
      </c>
      <c r="H8" s="2">
        <v>80</v>
      </c>
      <c r="I8" s="13">
        <f>SUM(E8:H8)</f>
        <v>315</v>
      </c>
      <c r="J8" s="13">
        <f>AVERAGE(E8:H8)</f>
        <v>78.75</v>
      </c>
      <c r="K8" s="13">
        <f>MAX(E8:H8)</f>
        <v>82</v>
      </c>
      <c r="L8" s="13">
        <f>MIN(E8:H8)</f>
        <v>75</v>
      </c>
      <c r="M8" s="13" t="str">
        <f t="shared" ref="M8:M27" si="3">_xlfn.CONCAT(B8:C8)</f>
        <v>RahulKumar</v>
      </c>
    </row>
    <row r="9" spans="1:13" x14ac:dyDescent="0.3">
      <c r="A9" s="2">
        <v>7</v>
      </c>
      <c r="B9" s="2" t="s">
        <v>17</v>
      </c>
      <c r="C9" s="2" t="s">
        <v>18</v>
      </c>
      <c r="D9" s="28">
        <v>37685</v>
      </c>
      <c r="E9" s="2">
        <v>88</v>
      </c>
      <c r="F9" s="2">
        <v>90</v>
      </c>
      <c r="G9" s="2">
        <v>84</v>
      </c>
      <c r="H9" s="2">
        <v>89</v>
      </c>
      <c r="I9" s="13">
        <f>SUM(E9:H9)</f>
        <v>351</v>
      </c>
      <c r="J9" s="13">
        <f>AVERAGE(E9:H9)</f>
        <v>87.75</v>
      </c>
      <c r="K9" s="13">
        <f>MAX(E9:H9)</f>
        <v>90</v>
      </c>
      <c r="L9" s="13">
        <f>MIN(E9:H9)</f>
        <v>84</v>
      </c>
      <c r="M9" s="13" t="str">
        <f t="shared" ref="M9:M27" si="4">_xlfn.CONCAT(B9," ",C9)</f>
        <v>Priya Sharma</v>
      </c>
    </row>
    <row r="10" spans="1:13" x14ac:dyDescent="0.3">
      <c r="A10" s="2">
        <v>8</v>
      </c>
      <c r="B10" s="2" t="s">
        <v>19</v>
      </c>
      <c r="C10" s="2" t="s">
        <v>11</v>
      </c>
      <c r="D10" s="28">
        <v>37000</v>
      </c>
      <c r="E10" s="2">
        <v>65</v>
      </c>
      <c r="F10" s="2">
        <v>72</v>
      </c>
      <c r="G10" s="2">
        <v>70</v>
      </c>
      <c r="H10" s="2">
        <v>68</v>
      </c>
      <c r="I10" s="13">
        <f>SUM(E10:H10)</f>
        <v>275</v>
      </c>
      <c r="J10" s="13">
        <f>AVERAGE(E10:H10)</f>
        <v>68.75</v>
      </c>
      <c r="K10" s="13">
        <f>MAX(E10:H10)</f>
        <v>72</v>
      </c>
      <c r="L10" s="13">
        <f>MIN(E10:H10)</f>
        <v>65</v>
      </c>
      <c r="M10" s="13" t="str">
        <f t="shared" ref="M10:M27" si="5">_xlfn.CONCAT(B10:C10)</f>
        <v>KiranReddy</v>
      </c>
    </row>
    <row r="11" spans="1:13" x14ac:dyDescent="0.3">
      <c r="A11" s="2">
        <v>9</v>
      </c>
      <c r="B11" s="2" t="s">
        <v>20</v>
      </c>
      <c r="C11" s="2" t="s">
        <v>21</v>
      </c>
      <c r="D11" s="28">
        <v>37571</v>
      </c>
      <c r="E11" s="2">
        <v>96</v>
      </c>
      <c r="F11" s="2">
        <v>94</v>
      </c>
      <c r="G11" s="2">
        <v>91</v>
      </c>
      <c r="H11" s="2">
        <v>95</v>
      </c>
      <c r="I11" s="13">
        <f>SUM(E11:H11)</f>
        <v>376</v>
      </c>
      <c r="J11" s="13">
        <f>AVERAGE(E11:H11)</f>
        <v>94</v>
      </c>
      <c r="K11" s="13">
        <f>MAX(E11:H11)</f>
        <v>96</v>
      </c>
      <c r="L11" s="13">
        <f>MIN(E11:H11)</f>
        <v>91</v>
      </c>
      <c r="M11" s="13" t="str">
        <f t="shared" ref="M11:M27" si="6">_xlfn.CONCAT(B11," ",C11)</f>
        <v>Anjali Devi</v>
      </c>
    </row>
    <row r="12" spans="1:13" x14ac:dyDescent="0.3">
      <c r="A12" s="2">
        <v>10</v>
      </c>
      <c r="B12" s="2" t="s">
        <v>22</v>
      </c>
      <c r="C12" s="2" t="s">
        <v>23</v>
      </c>
      <c r="D12" s="28">
        <v>37802</v>
      </c>
      <c r="E12" s="2">
        <v>82</v>
      </c>
      <c r="F12" s="2">
        <v>79</v>
      </c>
      <c r="G12" s="2">
        <v>86</v>
      </c>
      <c r="H12" s="2">
        <v>81</v>
      </c>
      <c r="I12" s="13">
        <f>SUM(E12:H12)</f>
        <v>328</v>
      </c>
      <c r="J12" s="13">
        <f>AVERAGE(E12:H12)</f>
        <v>82</v>
      </c>
      <c r="K12" s="13">
        <f>MAX(E12:H12)</f>
        <v>86</v>
      </c>
      <c r="L12" s="13">
        <f>MIN(E12:H12)</f>
        <v>79</v>
      </c>
      <c r="M12" s="13" t="str">
        <f t="shared" ref="M12:M27" si="7">_xlfn.CONCAT(B12:C12)</f>
        <v>ArjunRao</v>
      </c>
    </row>
    <row r="13" spans="1:13" x14ac:dyDescent="0.3">
      <c r="A13" s="2">
        <v>11</v>
      </c>
      <c r="B13" s="2" t="s">
        <v>24</v>
      </c>
      <c r="C13" s="2" t="s">
        <v>25</v>
      </c>
      <c r="D13" s="28">
        <v>37121</v>
      </c>
      <c r="E13" s="2">
        <v>74</v>
      </c>
      <c r="F13" s="2">
        <v>77</v>
      </c>
      <c r="G13" s="2">
        <v>73</v>
      </c>
      <c r="H13" s="2">
        <v>76</v>
      </c>
      <c r="I13" s="13">
        <f>SUM(E13:H13)</f>
        <v>300</v>
      </c>
      <c r="J13" s="13">
        <f>AVERAGE(E13:H13)</f>
        <v>75</v>
      </c>
      <c r="K13" s="13">
        <f>MAX(E13:H13)</f>
        <v>77</v>
      </c>
      <c r="L13" s="13">
        <f>MIN(E13:H13)</f>
        <v>73</v>
      </c>
      <c r="M13" s="13" t="str">
        <f t="shared" ref="M13:M27" si="8">_xlfn.CONCAT(B13," ",C13)</f>
        <v>Nikhil Varma</v>
      </c>
    </row>
    <row r="14" spans="1:13" x14ac:dyDescent="0.3">
      <c r="A14" s="2">
        <v>12</v>
      </c>
      <c r="B14" s="2" t="s">
        <v>26</v>
      </c>
      <c r="C14" s="2" t="s">
        <v>27</v>
      </c>
      <c r="D14" s="28">
        <v>37508</v>
      </c>
      <c r="E14" s="2">
        <v>89</v>
      </c>
      <c r="F14" s="2">
        <v>91</v>
      </c>
      <c r="G14" s="2">
        <v>88</v>
      </c>
      <c r="H14" s="2">
        <v>90</v>
      </c>
      <c r="I14" s="13">
        <f>SUM(E14:H14)</f>
        <v>358</v>
      </c>
      <c r="J14" s="13">
        <f>AVERAGE(E14:H14)</f>
        <v>89.5</v>
      </c>
      <c r="K14" s="13">
        <f>MAX(E14:H14)</f>
        <v>91</v>
      </c>
      <c r="L14" s="13">
        <f>MIN(E14:H14)</f>
        <v>88</v>
      </c>
      <c r="M14" s="13" t="str">
        <f t="shared" ref="M14:M27" si="9">_xlfn.CONCAT(B14:C14)</f>
        <v>SnehaPatel</v>
      </c>
    </row>
    <row r="15" spans="1:13" x14ac:dyDescent="0.3">
      <c r="A15" s="2">
        <v>13</v>
      </c>
      <c r="B15" s="2" t="s">
        <v>28</v>
      </c>
      <c r="C15" s="2" t="s">
        <v>29</v>
      </c>
      <c r="D15" s="28">
        <v>36814</v>
      </c>
      <c r="E15" s="2">
        <v>83</v>
      </c>
      <c r="F15" s="2">
        <v>80</v>
      </c>
      <c r="G15" s="2">
        <v>79</v>
      </c>
      <c r="H15" s="2">
        <v>84</v>
      </c>
      <c r="I15" s="13">
        <f>SUM(E15:H15)</f>
        <v>326</v>
      </c>
      <c r="J15" s="13">
        <f>AVERAGE(E15:H15)</f>
        <v>81.5</v>
      </c>
      <c r="K15" s="13">
        <f>MAX(E15:H15)</f>
        <v>84</v>
      </c>
      <c r="L15" s="13">
        <f>MIN(E15:H15)</f>
        <v>79</v>
      </c>
      <c r="M15" s="13" t="str">
        <f t="shared" ref="M15:M27" si="10">_xlfn.CONCAT(B15," ",C15)</f>
        <v>Rohit Singh</v>
      </c>
    </row>
    <row r="16" spans="1:13" x14ac:dyDescent="0.3">
      <c r="A16" s="2">
        <v>14</v>
      </c>
      <c r="B16" s="2" t="s">
        <v>30</v>
      </c>
      <c r="C16" s="2" t="s">
        <v>31</v>
      </c>
      <c r="D16" s="28">
        <v>37980</v>
      </c>
      <c r="E16" s="2">
        <v>95</v>
      </c>
      <c r="F16" s="2">
        <v>96</v>
      </c>
      <c r="G16" s="2">
        <v>94</v>
      </c>
      <c r="H16" s="2">
        <v>97</v>
      </c>
      <c r="I16" s="13">
        <f>SUM(E16:H16)</f>
        <v>382</v>
      </c>
      <c r="J16" s="13">
        <f>AVERAGE(E16:H16)</f>
        <v>95.5</v>
      </c>
      <c r="K16" s="13">
        <f>MAX(E16:H16)</f>
        <v>97</v>
      </c>
      <c r="L16" s="13">
        <f>MIN(E16:H16)</f>
        <v>94</v>
      </c>
      <c r="M16" s="13" t="str">
        <f t="shared" ref="M16:M27" si="11">_xlfn.CONCAT(B16:C16)</f>
        <v>DeepikaRani</v>
      </c>
    </row>
    <row r="17" spans="1:13" x14ac:dyDescent="0.3">
      <c r="A17" s="2">
        <v>15</v>
      </c>
      <c r="B17" s="2" t="s">
        <v>32</v>
      </c>
      <c r="C17" s="2" t="s">
        <v>9</v>
      </c>
      <c r="D17" s="28">
        <v>37289</v>
      </c>
      <c r="E17" s="2">
        <v>69</v>
      </c>
      <c r="F17" s="2">
        <v>71</v>
      </c>
      <c r="G17" s="2">
        <v>74</v>
      </c>
      <c r="H17" s="2">
        <v>70</v>
      </c>
      <c r="I17" s="13">
        <f>SUM(E17:H17)</f>
        <v>284</v>
      </c>
      <c r="J17" s="13">
        <f>AVERAGE(E17:H17)</f>
        <v>71</v>
      </c>
      <c r="K17" s="13">
        <f>MAX(E17:H17)</f>
        <v>74</v>
      </c>
      <c r="L17" s="13">
        <f>MIN(E17:H17)</f>
        <v>69</v>
      </c>
      <c r="M17" s="13" t="str">
        <f t="shared" ref="M17:M27" si="12">_xlfn.CONCAT(B17," ",C17)</f>
        <v>Harsha Kumar</v>
      </c>
    </row>
    <row r="18" spans="1:13" x14ac:dyDescent="0.3">
      <c r="A18" s="2">
        <v>16</v>
      </c>
      <c r="B18" s="2" t="s">
        <v>33</v>
      </c>
      <c r="C18" s="2" t="s">
        <v>34</v>
      </c>
      <c r="D18" s="28">
        <v>36898</v>
      </c>
      <c r="E18" s="2">
        <v>87</v>
      </c>
      <c r="F18" s="2">
        <v>85</v>
      </c>
      <c r="G18" s="2">
        <v>82</v>
      </c>
      <c r="H18" s="2">
        <v>88</v>
      </c>
      <c r="I18" s="13">
        <f>SUM(E18:H18)</f>
        <v>342</v>
      </c>
      <c r="J18" s="13">
        <f>AVERAGE(E18:H18)</f>
        <v>85.5</v>
      </c>
      <c r="K18" s="13">
        <f>MAX(E18:H18)</f>
        <v>88</v>
      </c>
      <c r="L18" s="13">
        <f>MIN(E18:H18)</f>
        <v>82</v>
      </c>
      <c r="M18" s="13" t="str">
        <f t="shared" ref="M18:M27" si="13">_xlfn.CONCAT(B18:C18)</f>
        <v>PoojaVerma</v>
      </c>
    </row>
    <row r="19" spans="1:13" x14ac:dyDescent="0.3">
      <c r="A19" s="2">
        <v>17</v>
      </c>
      <c r="B19" s="2" t="s">
        <v>35</v>
      </c>
      <c r="C19" s="2" t="s">
        <v>11</v>
      </c>
      <c r="D19" s="28">
        <v>38062</v>
      </c>
      <c r="E19" s="2">
        <v>79</v>
      </c>
      <c r="F19" s="2">
        <v>81</v>
      </c>
      <c r="G19" s="2">
        <v>83</v>
      </c>
      <c r="H19" s="2">
        <v>80</v>
      </c>
      <c r="I19" s="13">
        <f>SUM(E19:H19)</f>
        <v>323</v>
      </c>
      <c r="J19" s="13">
        <f>AVERAGE(E19:H19)</f>
        <v>80.75</v>
      </c>
      <c r="K19" s="13">
        <f>MAX(E19:H19)</f>
        <v>83</v>
      </c>
      <c r="L19" s="13">
        <f>MIN(E19:H19)</f>
        <v>79</v>
      </c>
      <c r="M19" s="13" t="str">
        <f t="shared" ref="M19:M27" si="14">_xlfn.CONCAT(B19," ",C19)</f>
        <v>Vivek Reddy</v>
      </c>
    </row>
    <row r="20" spans="1:13" x14ac:dyDescent="0.3">
      <c r="A20" s="2">
        <v>18</v>
      </c>
      <c r="B20" s="2" t="s">
        <v>36</v>
      </c>
      <c r="C20" s="2" t="s">
        <v>37</v>
      </c>
      <c r="D20" s="28">
        <v>37369</v>
      </c>
      <c r="E20" s="2">
        <v>98</v>
      </c>
      <c r="F20" s="2">
        <v>95</v>
      </c>
      <c r="G20" s="2">
        <v>97</v>
      </c>
      <c r="H20" s="2">
        <v>96</v>
      </c>
      <c r="I20" s="13">
        <f>SUM(E20:H20)</f>
        <v>386</v>
      </c>
      <c r="J20" s="13">
        <f>AVERAGE(E20:H20)</f>
        <v>96.5</v>
      </c>
      <c r="K20" s="13">
        <f>MAX(E20:H20)</f>
        <v>98</v>
      </c>
      <c r="L20" s="13">
        <f>MIN(E20:H20)</f>
        <v>95</v>
      </c>
      <c r="M20" s="13" t="str">
        <f t="shared" ref="M20:M27" si="15">_xlfn.CONCAT(B20:C20)</f>
        <v>KavyaNair</v>
      </c>
    </row>
    <row r="21" spans="1:13" x14ac:dyDescent="0.3">
      <c r="A21" s="2">
        <v>19</v>
      </c>
      <c r="B21" s="2" t="s">
        <v>38</v>
      </c>
      <c r="C21" s="2" t="s">
        <v>9</v>
      </c>
      <c r="D21" s="28">
        <v>37751</v>
      </c>
      <c r="E21" s="2">
        <v>72</v>
      </c>
      <c r="F21" s="2">
        <v>75</v>
      </c>
      <c r="G21" s="2">
        <v>70</v>
      </c>
      <c r="H21" s="2">
        <v>73</v>
      </c>
      <c r="I21" s="13">
        <f>SUM(E21:H21)</f>
        <v>290</v>
      </c>
      <c r="J21" s="13">
        <f>AVERAGE(E21:H21)</f>
        <v>72.5</v>
      </c>
      <c r="K21" s="13">
        <f>MAX(E21:H21)</f>
        <v>75</v>
      </c>
      <c r="L21" s="13">
        <f>MIN(E21:H21)</f>
        <v>70</v>
      </c>
      <c r="M21" s="13" t="str">
        <f t="shared" ref="M21:M27" si="16">_xlfn.CONCAT(B21," ",C21)</f>
        <v>Ajay Kumar</v>
      </c>
    </row>
    <row r="22" spans="1:13" x14ac:dyDescent="0.3">
      <c r="A22" s="2">
        <v>20</v>
      </c>
      <c r="B22" s="2" t="s">
        <v>39</v>
      </c>
      <c r="C22" s="2" t="s">
        <v>23</v>
      </c>
      <c r="D22" s="28">
        <v>37069</v>
      </c>
      <c r="E22" s="2">
        <v>90</v>
      </c>
      <c r="F22" s="2">
        <v>92</v>
      </c>
      <c r="G22" s="2">
        <v>89</v>
      </c>
      <c r="H22" s="2">
        <v>91</v>
      </c>
      <c r="I22" s="13">
        <f>SUM(E22:H22)</f>
        <v>362</v>
      </c>
      <c r="J22" s="13">
        <f>AVERAGE(E22:H22)</f>
        <v>90.5</v>
      </c>
      <c r="K22" s="13">
        <f>MAX(E22:H22)</f>
        <v>92</v>
      </c>
      <c r="L22" s="13">
        <f>MIN(E22:H22)</f>
        <v>89</v>
      </c>
      <c r="M22" s="13" t="str">
        <f t="shared" ref="M22:M27" si="17">_xlfn.CONCAT(B22:C22)</f>
        <v>DivyaRao</v>
      </c>
    </row>
    <row r="23" spans="1:13" x14ac:dyDescent="0.3">
      <c r="A23" s="2">
        <v>21</v>
      </c>
      <c r="B23" s="2" t="s">
        <v>40</v>
      </c>
      <c r="C23" s="2" t="s">
        <v>29</v>
      </c>
      <c r="D23" s="28">
        <v>37450</v>
      </c>
      <c r="E23" s="2">
        <v>84</v>
      </c>
      <c r="F23" s="2">
        <v>82</v>
      </c>
      <c r="G23" s="2">
        <v>81</v>
      </c>
      <c r="H23" s="2">
        <v>83</v>
      </c>
      <c r="I23" s="13">
        <f>SUM(E23:H23)</f>
        <v>330</v>
      </c>
      <c r="J23" s="13">
        <f>AVERAGE(E23:H23)</f>
        <v>82.5</v>
      </c>
      <c r="K23" s="13">
        <f>MAX(E23:H23)</f>
        <v>84</v>
      </c>
      <c r="L23" s="13">
        <f>MIN(E23:H23)</f>
        <v>81</v>
      </c>
      <c r="M23" s="13" t="str">
        <f t="shared" ref="M23:M27" si="18">_xlfn.CONCAT(B23," ",C23)</f>
        <v>Manoj Singh</v>
      </c>
    </row>
    <row r="24" spans="1:13" x14ac:dyDescent="0.3">
      <c r="A24" s="2">
        <v>22</v>
      </c>
      <c r="B24" s="2" t="s">
        <v>41</v>
      </c>
      <c r="C24" s="2" t="s">
        <v>11</v>
      </c>
      <c r="D24" s="28">
        <v>37841</v>
      </c>
      <c r="E24" s="2">
        <v>91</v>
      </c>
      <c r="F24" s="2">
        <v>90</v>
      </c>
      <c r="G24" s="2">
        <v>92</v>
      </c>
      <c r="H24" s="2">
        <v>89</v>
      </c>
      <c r="I24" s="13">
        <f>SUM(E24:H24)</f>
        <v>362</v>
      </c>
      <c r="J24" s="13">
        <f>AVERAGE(E24:H24)</f>
        <v>90.5</v>
      </c>
      <c r="K24" s="13">
        <f>MAX(E24:H24)</f>
        <v>92</v>
      </c>
      <c r="L24" s="13">
        <f>MIN(E24:H24)</f>
        <v>89</v>
      </c>
      <c r="M24" s="13" t="str">
        <f t="shared" ref="M24:M27" si="19">_xlfn.CONCAT(B24:C24)</f>
        <v>SwathiReddy</v>
      </c>
    </row>
    <row r="25" spans="1:13" x14ac:dyDescent="0.3">
      <c r="A25" s="2">
        <v>23</v>
      </c>
      <c r="B25" s="2" t="s">
        <v>42</v>
      </c>
      <c r="C25" s="2" t="s">
        <v>27</v>
      </c>
      <c r="D25" s="28">
        <v>37156</v>
      </c>
      <c r="E25" s="2">
        <v>76</v>
      </c>
      <c r="F25" s="2">
        <v>74</v>
      </c>
      <c r="G25" s="2">
        <v>78</v>
      </c>
      <c r="H25" s="2">
        <v>77</v>
      </c>
      <c r="I25" s="13">
        <f>SUM(E25:H25)</f>
        <v>305</v>
      </c>
      <c r="J25" s="13">
        <f>AVERAGE(E25:H25)</f>
        <v>76.25</v>
      </c>
      <c r="K25" s="13">
        <f>MAX(E25:H25)</f>
        <v>78</v>
      </c>
      <c r="L25" s="13">
        <f>MIN(E25:H25)</f>
        <v>74</v>
      </c>
      <c r="M25" s="13" t="str">
        <f t="shared" ref="M25:M27" si="20">_xlfn.CONCAT(B25," ",C25)</f>
        <v>Akash Patel</v>
      </c>
    </row>
    <row r="26" spans="1:13" x14ac:dyDescent="0.3">
      <c r="A26" s="2">
        <v>24</v>
      </c>
      <c r="B26" s="2" t="s">
        <v>43</v>
      </c>
      <c r="C26" s="2" t="s">
        <v>18</v>
      </c>
      <c r="D26" s="28">
        <v>37546</v>
      </c>
      <c r="E26" s="2">
        <v>93</v>
      </c>
      <c r="F26" s="2">
        <v>94</v>
      </c>
      <c r="G26" s="2">
        <v>95</v>
      </c>
      <c r="H26" s="2">
        <v>92</v>
      </c>
      <c r="I26" s="13">
        <f>SUM(E26:H26)</f>
        <v>374</v>
      </c>
      <c r="J26" s="13">
        <f>AVERAGE(E26:H26)</f>
        <v>93.5</v>
      </c>
      <c r="K26" s="13">
        <f>MAX(E26:H26)</f>
        <v>95</v>
      </c>
      <c r="L26" s="13">
        <f>MIN(E26:H26)</f>
        <v>92</v>
      </c>
      <c r="M26" s="13" t="str">
        <f t="shared" ref="M26:M27" si="21">_xlfn.CONCAT(B26:C26)</f>
        <v>BhavanaSharma</v>
      </c>
    </row>
    <row r="27" spans="1:13" x14ac:dyDescent="0.3">
      <c r="A27" s="2">
        <v>25</v>
      </c>
      <c r="B27" s="2" t="s">
        <v>44</v>
      </c>
      <c r="C27" s="2" t="s">
        <v>9</v>
      </c>
      <c r="D27" s="28">
        <v>37954</v>
      </c>
      <c r="E27" s="2">
        <v>81</v>
      </c>
      <c r="F27" s="2">
        <v>83</v>
      </c>
      <c r="G27" s="2">
        <v>85</v>
      </c>
      <c r="H27" s="2">
        <v>82</v>
      </c>
      <c r="I27" s="13">
        <f>SUM(E27:H27)</f>
        <v>331</v>
      </c>
      <c r="J27" s="13">
        <f>AVERAGE(E27:H27)</f>
        <v>82.75</v>
      </c>
      <c r="K27" s="13">
        <f>MAX(E27:H27)</f>
        <v>85</v>
      </c>
      <c r="L27" s="13">
        <f>MIN(E27:H27)</f>
        <v>81</v>
      </c>
      <c r="M27" s="13" t="str">
        <f t="shared" ref="M27" si="22">_xlfn.CONCAT(B27," ",C27)</f>
        <v>Teja Kumar</v>
      </c>
    </row>
  </sheetData>
  <autoFilter ref="A2:A27" xr:uid="{FD147D1C-B666-4076-9557-224F619255BA}">
    <sortState xmlns:xlrd2="http://schemas.microsoft.com/office/spreadsheetml/2017/richdata2" ref="A3:M27">
      <sortCondition ref="A2:A27"/>
    </sortState>
  </autoFilter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Task-1</vt:lpstr>
      <vt:lpstr>Task-2&amp;3</vt:lpstr>
      <vt:lpstr>TASK-4</vt:lpstr>
      <vt:lpstr>Day1</vt:lpstr>
      <vt:lpstr>pivot1</vt:lpstr>
      <vt:lpstr>pivot2</vt:lpstr>
      <vt:lpstr>Task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ananthasetty sowjanya</dc:creator>
  <cp:lastModifiedBy>ananthasetty sowjanya</cp:lastModifiedBy>
  <dcterms:created xsi:type="dcterms:W3CDTF">2026-06-25T14:53:25Z</dcterms:created>
  <dcterms:modified xsi:type="dcterms:W3CDTF">2026-06-25T16:25:26Z</dcterms:modified>
</cp:coreProperties>
</file>